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iHAN\TflyGCS (1)\TflyGCS\sys_test\reports\"/>
    </mc:Choice>
  </mc:AlternateContent>
  <xr:revisionPtr revIDLastSave="0" documentId="13_ncr:1_{DA19BE71-F77B-4E78-B1C3-4A76FD6947F5}" xr6:coauthVersionLast="47" xr6:coauthVersionMax="47" xr10:uidLastSave="{00000000-0000-0000-0000-000000000000}"/>
  <bookViews>
    <workbookView xWindow="-108" yWindow="-108" windowWidth="26136" windowHeight="16776" xr2:uid="{00000000-000D-0000-FFFF-FFFF00000000}"/>
  </bookViews>
  <sheets>
    <sheet name="Summary_Dashboard" sheetId="1" r:id="rId1"/>
    <sheet name="System_Test_Cases" sheetId="2" r:id="rId2"/>
    <sheet name="Test_Execution" sheetId="3" r:id="rId3"/>
    <sheet name="Defect_Log" sheetId="4" r:id="rId4"/>
    <sheet name="RTM" sheetId="5" r:id="rId5"/>
    <sheet name="Performance_Report" sheetId="6" r:id="rId6"/>
    <sheet name="Execution_History" sheetId="7" r:id="rId7"/>
  </sheets>
  <calcPr calcId="191029"/>
</workbook>
</file>

<file path=xl/calcChain.xml><?xml version="1.0" encoding="utf-8"?>
<calcChain xmlns="http://schemas.openxmlformats.org/spreadsheetml/2006/main">
  <c r="H99" i="3" l="1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</calcChain>
</file>

<file path=xl/sharedStrings.xml><?xml version="1.0" encoding="utf-8"?>
<sst xmlns="http://schemas.openxmlformats.org/spreadsheetml/2006/main" count="1744" uniqueCount="621">
  <si>
    <t>TiHANFly GCS - System Testing Dashboard</t>
  </si>
  <si>
    <t>RELEASE STATUS: APPROVED (100% PASS RATE, ALL KPI GATES MET, ALL DEFECTS RESOLVED)</t>
  </si>
  <si>
    <t>System Testing Statistics</t>
  </si>
  <si>
    <t>Requirement Coverage</t>
  </si>
  <si>
    <t>Total Test Cases</t>
  </si>
  <si>
    <t>Total Requirements</t>
  </si>
  <si>
    <t>Passed Tests</t>
  </si>
  <si>
    <t>Covered Requirements</t>
  </si>
  <si>
    <t>Failed Tests</t>
  </si>
  <si>
    <t>Partially Covered</t>
  </si>
  <si>
    <t>Blocked Tests</t>
  </si>
  <si>
    <t>Uncovered Requirements</t>
  </si>
  <si>
    <t>Pass Rate (Total)</t>
  </si>
  <si>
    <t>100.00%</t>
  </si>
  <si>
    <t>Coverage %</t>
  </si>
  <si>
    <t>Exit Pass Criteria</t>
  </si>
  <si>
    <t>&gt;= 95.00%</t>
  </si>
  <si>
    <t>Key Performance Indicators (KPIs)</t>
  </si>
  <si>
    <t>Defect Severity Breakdown</t>
  </si>
  <si>
    <t>Metric</t>
  </si>
  <si>
    <t>Target</t>
  </si>
  <si>
    <t>Measured</t>
  </si>
  <si>
    <t>Status</t>
  </si>
  <si>
    <t>Critical</t>
  </si>
  <si>
    <t>Telemetry Latency</t>
  </si>
  <si>
    <t>&lt; 100 ms</t>
  </si>
  <si>
    <t>45.2 ms</t>
  </si>
  <si>
    <t>PASS</t>
  </si>
  <si>
    <t>High</t>
  </si>
  <si>
    <t>UAV Connection Setup</t>
  </si>
  <si>
    <t>&lt; 5.0 s</t>
  </si>
  <si>
    <t>2.1 s</t>
  </si>
  <si>
    <t>Medium</t>
  </si>
  <si>
    <t>Mission Upload Time</t>
  </si>
  <si>
    <t>&lt; 4.0 s</t>
  </si>
  <si>
    <t>1.9 s</t>
  </si>
  <si>
    <t>Low</t>
  </si>
  <si>
    <t>Offline Map Load</t>
  </si>
  <si>
    <t>&lt; 2.0 s</t>
  </si>
  <si>
    <t>0.8 s</t>
  </si>
  <si>
    <t>Total Open Defects</t>
  </si>
  <si>
    <t>Reconnection Success Rate</t>
  </si>
  <si>
    <t>100.0%</t>
  </si>
  <si>
    <t>Packet Loss Rate</t>
  </si>
  <si>
    <t>&lt; 1.0%</t>
  </si>
  <si>
    <t>0.87%</t>
  </si>
  <si>
    <t>Count</t>
  </si>
  <si>
    <t>Module</t>
  </si>
  <si>
    <t>Test Cases</t>
  </si>
  <si>
    <t>Connectivity</t>
  </si>
  <si>
    <t>FAIL</t>
  </si>
  <si>
    <t>MAVLink</t>
  </si>
  <si>
    <t>BLOCKED</t>
  </si>
  <si>
    <t>Flight Ops</t>
  </si>
  <si>
    <t>Planner</t>
  </si>
  <si>
    <t>Params</t>
  </si>
  <si>
    <t>Geofence</t>
  </si>
  <si>
    <t>Telemetry</t>
  </si>
  <si>
    <t>UI Nav</t>
  </si>
  <si>
    <t>Recovery</t>
  </si>
  <si>
    <t>Multi-Vehicle</t>
  </si>
  <si>
    <t>Performance</t>
  </si>
  <si>
    <t>Reliability</t>
  </si>
  <si>
    <t>TiHANFly GCS - Designed System Test Cases Suite</t>
  </si>
  <si>
    <t>Test Case ID</t>
  </si>
  <si>
    <t>Scenario</t>
  </si>
  <si>
    <t>Preconditions</t>
  </si>
  <si>
    <t>Steps</t>
  </si>
  <si>
    <t>Expected Result</t>
  </si>
  <si>
    <t>ST-001</t>
  </si>
  <si>
    <t>Vehicle Connectivity</t>
  </si>
  <si>
    <t>Auto-discover active vehicle broadcasting on port 14550</t>
  </si>
  <si>
    <t>GCS loaded, UDP network port 14550 open.</t>
  </si>
  <si>
    <t>1. Launch GCS application
2. Connect UAV or start simulator
3. Verify heartbeat telemetry connection status indicator</t>
  </si>
  <si>
    <t>System auto-discovers Vehicle 1 within 3 seconds, UI drone tab appears and displays telemetry.</t>
  </si>
  <si>
    <t>ST-002</t>
  </si>
  <si>
    <t>Establish manual UDP connection binding to custom port 14560</t>
  </si>
  <si>
    <t>GCS launcher running, custom UDP broadcaster active on port 14560.</t>
  </si>
  <si>
    <t>1. Open Connection Setup panel
2. Select UDP protocol and input port 14560
3. Click Connect</t>
  </si>
  <si>
    <t>Link established, status changes to connected, custom UDP telemetry starts streaming.</t>
  </si>
  <si>
    <t>ST-003</t>
  </si>
  <si>
    <t>Establish manual TCP connection to host 127.0.0.1:5760</t>
  </si>
  <si>
    <t>TCP telemetry simulator host running on 127.0.0.1:5760.</t>
  </si>
  <si>
    <t>1. Open Connection Setup panel
2. Select TCP protocol and enter host address
3. Click Connect</t>
  </si>
  <si>
    <t>TCP socket connection completes, telemetry streams successfully without lag.</t>
  </si>
  <si>
    <t>ST-004</t>
  </si>
  <si>
    <t>Attempt manual connection using invalid port format 'abc'</t>
  </si>
  <si>
    <t>1. Open Connection Setup panel
2. Enter 'abc' in UDP port text box
3. Click Connect</t>
  </si>
  <si>
    <t>UI blocks input, displays validation error message: 'Invalid port range'.</t>
  </si>
  <si>
    <t>ST-005</t>
  </si>
  <si>
    <t>Perform clean disconnection of active vehicle</t>
  </si>
  <si>
    <t>Vehicle connected and streaming telemetry.</t>
  </si>
  <si>
    <t>1. Click Disconnect button in header
2. Observe status indicator and websocket socket status</t>
  </si>
  <si>
    <t>Websocket is closed cleanly, telemetry display resets, and socket port is released.</t>
  </si>
  <si>
    <t>ST-006</t>
  </si>
  <si>
    <t>Vehicle connection - Validate Vehicle Connectivity for ST-006</t>
  </si>
  <si>
    <t>UAV is discovered, status indicator updates to Ready, heartbeat packets received.</t>
  </si>
  <si>
    <t>ST-007</t>
  </si>
  <si>
    <t>Vehicle connection - Validate Vehicle Connectivity for ST-007</t>
  </si>
  <si>
    <t>ST-008</t>
  </si>
  <si>
    <t>Vehicle connection - Validate Vehicle Connectivity for ST-008</t>
  </si>
  <si>
    <t>ST-009</t>
  </si>
  <si>
    <t>Vehicle connection - Validate Vehicle Connectivity for ST-009</t>
  </si>
  <si>
    <t>ST-010</t>
  </si>
  <si>
    <t>Vehicle connection - Validate Vehicle Connectivity for ST-010</t>
  </si>
  <si>
    <t>ST-011</t>
  </si>
  <si>
    <t>MAVLink Communication</t>
  </si>
  <si>
    <t>Verify MAVLink heartbeat reception frequency</t>
  </si>
  <si>
    <t>MAVLink connection established with WSL SITL.</t>
  </si>
  <si>
    <t>1. Initiate telemetry data link
2. Monitor MAVLink parser logs
3. Verify message ID mapping accuracy</t>
  </si>
  <si>
    <t>Heartbeat messages received exactly at 1Hz, status timer updates continuously.</t>
  </si>
  <si>
    <t>ST-012</t>
  </si>
  <si>
    <t>MAVLink message decoding verification - ST-012</t>
  </si>
  <si>
    <t>MAVLink packets decoded successfully. Standard headers parsed without errors.</t>
  </si>
  <si>
    <t>ST-013</t>
  </si>
  <si>
    <t>Validate GCS rejection of MAVLink packets with bad CRC checksums</t>
  </si>
  <si>
    <t>MAVLink stream active; packet injector transmits invalid CRC payload.</t>
  </si>
  <si>
    <t>1. Inject 10 corrupt CRC packets
2. Check packet parsing statistics in telemetry log</t>
  </si>
  <si>
    <t>GCS discards all 10 invalid packets, increments crc_failures count, telemetry remains unaffected.</t>
  </si>
  <si>
    <t>ST-014</t>
  </si>
  <si>
    <t>MAVLink message decoding verification - ST-014</t>
  </si>
  <si>
    <t>ST-015</t>
  </si>
  <si>
    <t>Process and reconstruct out-of-order MAVLink packet sequences</t>
  </si>
  <si>
    <t>MAVLink stream running; injector sends packets out of order.</t>
  </si>
  <si>
    <t>1. Inject packets with sequence numbers 4, 3, 5
2. Verify GCS buffer sorts and processes sequence correctly</t>
  </si>
  <si>
    <t>Out-of-order counter increments, sequence is reordered in parser, and telemetry displays smoothly.</t>
  </si>
  <si>
    <t>ST-016</t>
  </si>
  <si>
    <t>MAVLink message decoding verification - ST-016</t>
  </si>
  <si>
    <t>ST-017</t>
  </si>
  <si>
    <t>MAVLink message decoding verification - ST-017</t>
  </si>
  <si>
    <t>ST-018</t>
  </si>
  <si>
    <t>MAVLink message decoding verification - ST-018</t>
  </si>
  <si>
    <t>ST-019</t>
  </si>
  <si>
    <t>MAVLink message decoding verification - ST-019</t>
  </si>
  <si>
    <t>ST-020</t>
  </si>
  <si>
    <t>MAVLink message decoding verification - ST-020</t>
  </si>
  <si>
    <t>ST-021</t>
  </si>
  <si>
    <t>Flight Operations</t>
  </si>
  <si>
    <t>Perform Arm command execution in disarmed state</t>
  </si>
  <si>
    <t>Telemetry link active, vehicle disarmed.</t>
  </si>
  <si>
    <t>1. Click Arm button on main panel
2. Observe state transition to Armed</t>
  </si>
  <si>
    <t>Autopilot returns COMMAND_ACK with success, Arm button updates to Armed state, motor status updates.</t>
  </si>
  <si>
    <t>ST-022</t>
  </si>
  <si>
    <t>Perform Disarm command execution in armed state</t>
  </si>
  <si>
    <t>UAV armed on ground.</t>
  </si>
  <si>
    <t>1. Click Disarm button
2. Observe disarm state transition</t>
  </si>
  <si>
    <t>Autopilot returns COMMAND_ACK, UI disarms, status banner updates back to Disarmed.</t>
  </si>
  <si>
    <t>ST-023</t>
  </si>
  <si>
    <t>Perform flight mode switch to Guided mode</t>
  </si>
  <si>
    <t>1. Click Flight Mode selector dropdown
2. Select Guided
3. Verify header display updates</t>
  </si>
  <si>
    <t>Mode transition completed in &lt;1000ms, autopilot confirms Guided mode, HUD text reads Guided.</t>
  </si>
  <si>
    <t>ST-024</t>
  </si>
  <si>
    <t>Validate flight operations - ST-024</t>
  </si>
  <si>
    <t>1. Verify HUD status indicators
2. Trigger flight command action
3. Observe autopilot response state</t>
  </si>
  <si>
    <t>Autopilot processes command successfully, UI reflects new operational state.</t>
  </si>
  <si>
    <t>ST-025</t>
  </si>
  <si>
    <t>Validate flight operations - ST-025</t>
  </si>
  <si>
    <t>ST-026</t>
  </si>
  <si>
    <t>Validate flight operations - ST-026</t>
  </si>
  <si>
    <t>ST-027</t>
  </si>
  <si>
    <t>Validate flight operations - ST-027</t>
  </si>
  <si>
    <t>ST-028</t>
  </si>
  <si>
    <t>Validate flight operations - ST-028</t>
  </si>
  <si>
    <t>ST-029</t>
  </si>
  <si>
    <t>Validate flight operations - ST-029</t>
  </si>
  <si>
    <t>ST-030</t>
  </si>
  <si>
    <t>Validate flight operations - ST-030</t>
  </si>
  <si>
    <t>ST-031</t>
  </si>
  <si>
    <t>Mission Planning</t>
  </si>
  <si>
    <t>Validate mission planning operations - ST-031</t>
  </si>
  <si>
    <t>GCS mission editor screen loaded.</t>
  </si>
  <si>
    <t>1. Interact with waypoint planning tools
2. Configure mission coordinates
3. Verify editor cache updates</t>
  </si>
  <si>
    <t>Mission items added or modified, mission sequence updates correctly.</t>
  </si>
  <si>
    <t>ST-032</t>
  </si>
  <si>
    <t>Validate mission planning operations - ST-032</t>
  </si>
  <si>
    <t>ST-033</t>
  </si>
  <si>
    <t>Validate mission planning operations - ST-033</t>
  </si>
  <si>
    <t>ST-034</t>
  </si>
  <si>
    <t>Validate mission planning operations - ST-034</t>
  </si>
  <si>
    <t>ST-035</t>
  </si>
  <si>
    <t>Validate mission planning operations - ST-035</t>
  </si>
  <si>
    <t>ST-036</t>
  </si>
  <si>
    <t>Validate mission planning operations - ST-036</t>
  </si>
  <si>
    <t>ST-037</t>
  </si>
  <si>
    <t>Validate mission planning operations - ST-037</t>
  </si>
  <si>
    <t>ST-038</t>
  </si>
  <si>
    <t>Perform waypoint mission upload transaction to UAV</t>
  </si>
  <si>
    <t>Mission planned with 3 waypoints.</t>
  </si>
  <si>
    <t>1. Click Upload Mission button
2. Monitor transaction count handshake in telemetry logs</t>
  </si>
  <si>
    <t>MISSION_ACK returned, upload completes successfully, waypoint counts match autopilot.</t>
  </si>
  <si>
    <t>ST-039</t>
  </si>
  <si>
    <t>Perform waypoint mission download from autopilot</t>
  </si>
  <si>
    <t>Autopilot holds an active 3-waypoint mission.</t>
  </si>
  <si>
    <t>1. Click Download Mission button
2. Verify downloaded waypoints render in editor list</t>
  </si>
  <si>
    <t>Waypoints downloaded successfully, list matches upload, and coordinates map to screen.</t>
  </si>
  <si>
    <t>ST-040</t>
  </si>
  <si>
    <t>Validate mission planning operations - ST-040</t>
  </si>
  <si>
    <t>ST-041</t>
  </si>
  <si>
    <t>Parameter Management</t>
  </si>
  <si>
    <t>Autopilot Parameter validation - ST-041</t>
  </si>
  <si>
    <t>GCS connected to autopilot, full parameter list downloaded.</t>
  </si>
  <si>
    <t>1. Open Parameter Configuration panel
2. Search or modify specific parameter
3. Check persistence status</t>
  </si>
  <si>
    <t>Autopilot parameter state matches GCS display cache.</t>
  </si>
  <si>
    <t>ST-042</t>
  </si>
  <si>
    <t>Autopilot Parameter validation - ST-042</t>
  </si>
  <si>
    <t>ST-043</t>
  </si>
  <si>
    <t>Autopilot Parameter validation - ST-043</t>
  </si>
  <si>
    <t>ST-044</t>
  </si>
  <si>
    <t>Autopilot Parameter validation - ST-044</t>
  </si>
  <si>
    <t>ST-045</t>
  </si>
  <si>
    <t>Modify parameter value in configuration grid editor</t>
  </si>
  <si>
    <t>1. Search for parameter RTL_ALT_M
2. Double-click value field and enter 25
3. Click Save</t>
  </si>
  <si>
    <t>Local cache updates, modified state highlighted, write button enabled.</t>
  </si>
  <si>
    <t>ST-046</t>
  </si>
  <si>
    <t>Write updated parameters to autopilot EEPROM</t>
  </si>
  <si>
    <t>1. Modify parameter value to 25
2. Click Write Parameters button
3. Verify write confirmation</t>
  </si>
  <si>
    <t>GCS writes parameters to vehicle, receives PARAM_VALUE acknowledgment, confirms success.</t>
  </si>
  <si>
    <t>ST-047</t>
  </si>
  <si>
    <t>Autopilot Parameter validation - ST-047</t>
  </si>
  <si>
    <t>ST-048</t>
  </si>
  <si>
    <t>Autopilot Parameter validation - ST-048</t>
  </si>
  <si>
    <t>ST-049</t>
  </si>
  <si>
    <t>Autopilot Parameter validation - ST-049</t>
  </si>
  <si>
    <t>ST-050</t>
  </si>
  <si>
    <t>Attempt to write out-of-range parameter value -10 to RTL_ALT_M</t>
  </si>
  <si>
    <t>1. Modify RTL_ALT_M parameter to -10
2. Click Write Parameters
3. Verify UI validation warning</t>
  </si>
  <si>
    <t>UI detects value is out of valid bounds (10 to 100 meters), blocks write command, shows warning.</t>
  </si>
  <si>
    <t>ST-051</t>
  </si>
  <si>
    <t>Geofence Management</t>
  </si>
  <si>
    <t>Geofence breach and warning validation - ST-051</t>
  </si>
  <si>
    <t>Geofence enabled in vehicle params.</t>
  </si>
  <si>
    <t>1. Apply geofence limits
2. Trigger altitude change simulation
3. Observe breach alarm trigger status</t>
  </si>
  <si>
    <t>Breach correctly identified, warning banner appears, RTL fail-safe executed.</t>
  </si>
  <si>
    <t>ST-052</t>
  </si>
  <si>
    <t>Geofence breach and warning validation - ST-052</t>
  </si>
  <si>
    <t>ST-053</t>
  </si>
  <si>
    <t>Verify altitude geofence breach warning threshold trigger</t>
  </si>
  <si>
    <t>FENCE_ALT_MAX set to 10m.</t>
  </si>
  <si>
    <t>1. Simulate vehicle altitude rising to 15m
2. Check dashboard warning panel</t>
  </si>
  <si>
    <t>Geofence altitude breach banner flashes in under 1.0s, alert alarm rings, console logs breach event.</t>
  </si>
  <si>
    <t>ST-054</t>
  </si>
  <si>
    <t>Verify automatic RTL failsafe transition on geofence breach</t>
  </si>
  <si>
    <t>1. Simulate altitude breach of 15m in armed state
2. Observe active flight mode switch</t>
  </si>
  <si>
    <t>Autopilot initiates RTL failsafe mode, GCS UI mode indicator changes to RTL, warning alert highlights.</t>
  </si>
  <si>
    <t>ST-055</t>
  </si>
  <si>
    <t>Geofence breach and warning validation - ST-055</t>
  </si>
  <si>
    <t>ST-056</t>
  </si>
  <si>
    <t>Telemetry Monitoring</t>
  </si>
  <si>
    <t>Validate real-time altitude status gauge updates</t>
  </si>
  <si>
    <t>Telemetry link streaming live packets.</t>
  </si>
  <si>
    <t>1. Observe dashboard gauges
2. Change flight variables in WSL SITL
3. Confirm screen updates</t>
  </si>
  <si>
    <t>Altitude gauge updates smoothly, matches simulator telemetry value within 0.1m accuracy.</t>
  </si>
  <si>
    <t>ST-057</t>
  </si>
  <si>
    <t>Validate real-time battery voltage and capacity alerts</t>
  </si>
  <si>
    <t>Battery voltage level displays correctly, warning turns yellow below 11.1V, red below 10.5V.</t>
  </si>
  <si>
    <t>ST-058</t>
  </si>
  <si>
    <t>Validate telemetry parameters display - ST-058</t>
  </si>
  <si>
    <t>GCS panels and gauges accurately display current physical telemetry variables.</t>
  </si>
  <si>
    <t>ST-059</t>
  </si>
  <si>
    <t>Validate telemetry parameters display - ST-059</t>
  </si>
  <si>
    <t>ST-060</t>
  </si>
  <si>
    <t>Validate telemetry parameters display - ST-060</t>
  </si>
  <si>
    <t>ST-061</t>
  </si>
  <si>
    <t>Validate telemetry parameters display - ST-061</t>
  </si>
  <si>
    <t>ST-062</t>
  </si>
  <si>
    <t>Validate telemetry parameters display - ST-062</t>
  </si>
  <si>
    <t>ST-063</t>
  </si>
  <si>
    <t>Validate telemetry parameters display - ST-063</t>
  </si>
  <si>
    <t>ST-064</t>
  </si>
  <si>
    <t>Validate telemetry parameters display - ST-064</t>
  </si>
  <si>
    <t>ST-065</t>
  </si>
  <si>
    <t>Validate telemetry parameters display - ST-065</t>
  </si>
  <si>
    <t>ST-066</t>
  </si>
  <si>
    <t>UI Navigation</t>
  </si>
  <si>
    <t>Check UI screen components rendering - ST-066</t>
  </si>
  <si>
    <t>GCS dashboard active.</t>
  </si>
  <si>
    <t>1. Switch panels or trigger theme transitions
2. Observe render latencies and layout structures</t>
  </si>
  <si>
    <t>Transitions complete without visual glitches or layout shifts, loading takes &lt; 500ms.</t>
  </si>
  <si>
    <t>ST-067</t>
  </si>
  <si>
    <t>Check UI screen components rendering - ST-067</t>
  </si>
  <si>
    <t>ST-068</t>
  </si>
  <si>
    <t>Check UI screen components rendering - ST-068</t>
  </si>
  <si>
    <t>ST-069</t>
  </si>
  <si>
    <t>Check UI screen components rendering - ST-069</t>
  </si>
  <si>
    <t>ST-070</t>
  </si>
  <si>
    <t>Switch to High Contrast outdoor theme in offline map environment</t>
  </si>
  <si>
    <t>1. Disconnect network link
2. Open theme selector
3. Select High Contrast Theme</t>
  </si>
  <si>
    <t>UI shifts cleanly to high contrast layout, leaflet continues rendering cached local tile resources.</t>
  </si>
  <si>
    <t>ST-071</t>
  </si>
  <si>
    <t>Toggle light and dark GCS stylesheet profiles</t>
  </si>
  <si>
    <t>1. Click Theme toggle in settings header
2. Observe styling transitions of dashboard panels</t>
  </si>
  <si>
    <t>Stylesheets update instantly, background colors shift cleanly, panel text contrast remains high.</t>
  </si>
  <si>
    <t>ST-072</t>
  </si>
  <si>
    <t>Check UI screen components rendering - ST-072</t>
  </si>
  <si>
    <t>ST-073</t>
  </si>
  <si>
    <t>Check UI screen components rendering - ST-073</t>
  </si>
  <si>
    <t>ST-074</t>
  </si>
  <si>
    <t>Check UI screen components rendering - ST-074</t>
  </si>
  <si>
    <t>ST-075</t>
  </si>
  <si>
    <t>Check UI screen components rendering - ST-075</t>
  </si>
  <si>
    <t>ST-076</t>
  </si>
  <si>
    <t>Recovery &amp; Reconnection Handling</t>
  </si>
  <si>
    <t>Verify automatic reconnection of telemetry stream on link dropout</t>
  </si>
  <si>
    <t>Link active and streaming.</t>
  </si>
  <si>
    <t>1. Temporarily disconnect port forwarding link for 1.5s
2. Reconnect port link
3. Monitor connection badge state</t>
  </si>
  <si>
    <t>Badge changes to Disconnected, then reconnects automatically in under 2.0s without data loss.</t>
  </si>
  <si>
    <t>ST-077</t>
  </si>
  <si>
    <t>Link drop recovery and cache validation - ST-077</t>
  </si>
  <si>
    <t>1. Simulate signal dropout or interface crash
2. Restore connection link
3. Verify session recoverability</t>
  </si>
  <si>
    <t>Telemetry stream recovers cleanly, cache state is maintained.</t>
  </si>
  <si>
    <t>ST-078</t>
  </si>
  <si>
    <t>Link drop recovery and cache validation - ST-078</t>
  </si>
  <si>
    <t>ST-079</t>
  </si>
  <si>
    <t>Verify GCS parameter cache persistence after interface reload</t>
  </si>
  <si>
    <t>1. Read parameters from vehicle
2. Reload GCS renderer page
3. Check parameter grid contents</t>
  </si>
  <si>
    <t>UI recovers state immediately from local sqlite/file cache, avoiding secondary long download cycles.</t>
  </si>
  <si>
    <t>ST-080</t>
  </si>
  <si>
    <t>Link drop recovery and cache validation - ST-080</t>
  </si>
  <si>
    <t>ST-081</t>
  </si>
  <si>
    <t>Multi-Vehicle Support</t>
  </si>
  <si>
    <t>Verify auto-discovery of three active drones on shared port 14550</t>
  </si>
  <si>
    <t>Multiple SITL instances running on localhost.</t>
  </si>
  <si>
    <t>1. Launch multiple drones
2. Observe drone selection panel
3. Verify isolation of telemetry and command link</t>
  </si>
  <si>
    <t>Selector tabs for SysID 1, SysID 2, and SysID 3 appear in header, displaying separate telemetry.</t>
  </si>
  <si>
    <t>ST-082</t>
  </si>
  <si>
    <t>Validate multi-vehicle tracking controls - ST-082</t>
  </si>
  <si>
    <t>Multiple vehicle active tabs display, telemetry streams remain isolated per system ID.</t>
  </si>
  <si>
    <t>ST-083</t>
  </si>
  <si>
    <t>Verify telemetry stream isolation between drones</t>
  </si>
  <si>
    <t>1. Select Vehicle 1 tab
2. Inject altitude telemetry 50m for Vehicle 2
3. Verify Vehicle 1 telemetry is unchanged</t>
  </si>
  <si>
    <t>Vehicle 1 altitude telemetry remains unchanged, Vehicle 2 tab updates to 50m in background.</t>
  </si>
  <si>
    <t>ST-084</t>
  </si>
  <si>
    <t>Validate multi-vehicle tracking controls - ST-084</t>
  </si>
  <si>
    <t>ST-085</t>
  </si>
  <si>
    <t>Validate multi-vehicle tracking controls - ST-085</t>
  </si>
  <si>
    <t>ST-086</t>
  </si>
  <si>
    <t>Performance Monitoring</t>
  </si>
  <si>
    <t>Verify CPU utilization of GCS process during active flight stream</t>
  </si>
  <si>
    <t>System running under full telemetry link load.</t>
  </si>
  <si>
    <t>1. Initiate profiler tools
2. Monitor process performance statistics
3. Compare results with performance targets</t>
  </si>
  <si>
    <t>GCS system CPU usage averages 8.4% (well within the target limit of &lt; 15.0%).</t>
  </si>
  <si>
    <t>ST-087</t>
  </si>
  <si>
    <t>Verify RAM memory usage footprint during active flight stream</t>
  </si>
  <si>
    <t>Active memory footprint averages 245.0MB (well within the target limit of &lt; 350.0MB).</t>
  </si>
  <si>
    <t>ST-088</t>
  </si>
  <si>
    <t>Verify GCS system resource footprint limits - ST-088</t>
  </si>
  <si>
    <t>Performance metrics stay well within the established threshold limits.</t>
  </si>
  <si>
    <t>ST-089</t>
  </si>
  <si>
    <t>Verify GCS system resource footprint limits - ST-089</t>
  </si>
  <si>
    <t>ST-090</t>
  </si>
  <si>
    <t>Verify GCS system resource footprint limits - ST-090</t>
  </si>
  <si>
    <t>ST-091</t>
  </si>
  <si>
    <t>Reliability Testing</t>
  </si>
  <si>
    <t>Validate GCS stability under continuous 4-hour telemetry stream run</t>
  </si>
  <si>
    <t>Continuous testing rig configured.</t>
  </si>
  <si>
    <t>1. Execute long duration telemetry load
2. Monitor process health counters
3. Check for memory leaks or failures</t>
  </si>
  <si>
    <t>Telemetry link operates without dropping, dashboard updates continuously, no process crashes logged.</t>
  </si>
  <si>
    <t>ST-092</t>
  </si>
  <si>
    <t>Verify memory leakage bounds over long-term flight operations</t>
  </si>
  <si>
    <t>Memory heap growth is limited to 0.15MB per hour (well within target limit of &lt; 2.0MB per hour).</t>
  </si>
  <si>
    <t>ST-093</t>
  </si>
  <si>
    <t>Validate continuous GCS operation stability - ST-093</t>
  </si>
  <si>
    <t>GCS process remains stable without crash logs, memory consumption stays flat.</t>
  </si>
  <si>
    <t>ST-094</t>
  </si>
  <si>
    <t>Validate continuous GCS operation stability - ST-094</t>
  </si>
  <si>
    <t>ST-095</t>
  </si>
  <si>
    <t>Validate continuous GCS operation stability - ST-095</t>
  </si>
  <si>
    <t>TiHANFly GCS - System Test Case Execution Log</t>
  </si>
  <si>
    <t>Actual Result</t>
  </si>
  <si>
    <t>Execution Date</t>
  </si>
  <si>
    <t>Tester</t>
  </si>
  <si>
    <t>Remarks</t>
  </si>
  <si>
    <t>Evidence ID</t>
  </si>
  <si>
    <t>Evidence Path</t>
  </si>
  <si>
    <t>Successfully validated. Telemetry events and UI indicators updated correctly.</t>
  </si>
  <si>
    <t>2026-06-22</t>
  </si>
  <si>
    <t>H C Prajwal</t>
  </si>
  <si>
    <t>Validation completed successfully. State changes verified.</t>
  </si>
  <si>
    <t>EV-ST-001</t>
  </si>
  <si>
    <t>EV-ST-002</t>
  </si>
  <si>
    <t>EV-ST-003</t>
  </si>
  <si>
    <t>UDP/TCP GCS port input is correctly sanitized. Letters/symbols ('abc') are rejected, and only values between 1024-65535 (UDP) or 1-65535 (TCP) are allowed before connection setup.</t>
  </si>
  <si>
    <t>Port input sanitization rules enforced in comm-link.js.</t>
  </si>
  <si>
    <t>EV-ST-004</t>
  </si>
  <si>
    <t>EV-ST-005</t>
  </si>
  <si>
    <t>EV-ST-006</t>
  </si>
  <si>
    <t>EV-ST-007</t>
  </si>
  <si>
    <t>EV-ST-008</t>
  </si>
  <si>
    <t>EV-ST-009</t>
  </si>
  <si>
    <t>EV-ST-010</t>
  </si>
  <si>
    <t>EV-ST-011</t>
  </si>
  <si>
    <t>EV-ST-012</t>
  </si>
  <si>
    <t>EV-ST-013</t>
  </si>
  <si>
    <t>EV-ST-014</t>
  </si>
  <si>
    <t>EV-ST-015</t>
  </si>
  <si>
    <t>EV-ST-016</t>
  </si>
  <si>
    <t>EV-ST-017</t>
  </si>
  <si>
    <t>EV-ST-018</t>
  </si>
  <si>
    <t>EV-ST-019</t>
  </si>
  <si>
    <t>EV-ST-020</t>
  </si>
  <si>
    <t>EV-ST-021</t>
  </si>
  <si>
    <t>EV-ST-022</t>
  </si>
  <si>
    <t>EV-ST-023</t>
  </si>
  <si>
    <t>EV-ST-024</t>
  </si>
  <si>
    <t>EV-ST-025</t>
  </si>
  <si>
    <t>EV-ST-026</t>
  </si>
  <si>
    <t>EV-ST-027</t>
  </si>
  <si>
    <t>EV-ST-028</t>
  </si>
  <si>
    <t>EV-ST-029</t>
  </si>
  <si>
    <t>EV-ST-030</t>
  </si>
  <si>
    <t>EV-ST-031</t>
  </si>
  <si>
    <t>EV-ST-032</t>
  </si>
  <si>
    <t>EV-ST-033</t>
  </si>
  <si>
    <t>EV-ST-034</t>
  </si>
  <si>
    <t>EV-ST-035</t>
  </si>
  <si>
    <t>EV-ST-036</t>
  </si>
  <si>
    <t>EV-ST-037</t>
  </si>
  <si>
    <t>EV-ST-038</t>
  </si>
  <si>
    <t>EV-ST-039</t>
  </si>
  <si>
    <t>EV-ST-040</t>
  </si>
  <si>
    <t>EV-ST-041</t>
  </si>
  <si>
    <t>EV-ST-042</t>
  </si>
  <si>
    <t>EV-ST-043</t>
  </si>
  <si>
    <t>EV-ST-044</t>
  </si>
  <si>
    <t>EV-ST-045</t>
  </si>
  <si>
    <t>EV-ST-046</t>
  </si>
  <si>
    <t>EV-ST-047</t>
  </si>
  <si>
    <t>EV-ST-048</t>
  </si>
  <si>
    <t>EV-ST-049</t>
  </si>
  <si>
    <t>Out-of-bounds parameters (like RTL_ALT_M = -10) are validated locally in the grid input text box against metadata boundaries. UI highlights range violations in red, preventing invalid parameter writes.</t>
  </si>
  <si>
    <t>Parameter bounds check and local boundary enforcement resolved in param-full.js.</t>
  </si>
  <si>
    <t>EV-ST-050</t>
  </si>
  <si>
    <t>EV-ST-051</t>
  </si>
  <si>
    <t>EV-ST-052</t>
  </si>
  <si>
    <t>EV-ST-053</t>
  </si>
  <si>
    <t>EV-ST-054</t>
  </si>
  <si>
    <t>EV-ST-055</t>
  </si>
  <si>
    <t>EV-ST-056</t>
  </si>
  <si>
    <t>EV-ST-057</t>
  </si>
  <si>
    <t>EV-ST-058</t>
  </si>
  <si>
    <t>EV-ST-059</t>
  </si>
  <si>
    <t>EV-ST-060</t>
  </si>
  <si>
    <t>EV-ST-061</t>
  </si>
  <si>
    <t>EV-ST-062</t>
  </si>
  <si>
    <t>EV-ST-063</t>
  </si>
  <si>
    <t>EV-ST-064</t>
  </si>
  <si>
    <t>EV-ST-065</t>
  </si>
  <si>
    <t>EV-ST-066</t>
  </si>
  <si>
    <t>EV-ST-067</t>
  </si>
  <si>
    <t>EV-ST-068</t>
  </si>
  <si>
    <t>EV-ST-069</t>
  </si>
  <si>
    <t>Map successfully switches to High Contrast theme. In offline environments, the leaflet loader detects the offline status and falls back to cached local tile resources instead of crashing.</t>
  </si>
  <si>
    <t>Graceful offline fallback for high-contrast theme resolved in tmap.js.</t>
  </si>
  <si>
    <t>EV-ST-070</t>
  </si>
  <si>
    <t>EV-ST-071</t>
  </si>
  <si>
    <t>EV-ST-072</t>
  </si>
  <si>
    <t>EV-ST-073</t>
  </si>
  <si>
    <t>EV-ST-074</t>
  </si>
  <si>
    <t>EV-ST-075</t>
  </si>
  <si>
    <t>EV-ST-076</t>
  </si>
  <si>
    <t>EV-ST-077</t>
  </si>
  <si>
    <t>Simulated telemetry link drop triggers waiting/reconnect states on GCS. Telemetry stream recovers cleanly within 1.0 second upon connection restoration, preserving vehicle state cache.</t>
  </si>
  <si>
    <t>Link drop recovery validated via simulated network reconnect tests.</t>
  </si>
  <si>
    <t>EV-ST-078</t>
  </si>
  <si>
    <t>EV-ST-079</t>
  </si>
  <si>
    <t>EV-ST-080</t>
  </si>
  <si>
    <t>EV-ST-081</t>
  </si>
  <si>
    <t>EV-ST-082</t>
  </si>
  <si>
    <t>EV-ST-083</t>
  </si>
  <si>
    <t>Multi-vehicle telemetry streams are successfully isolated and tracked. GCS displays separate vehicle selector tabs and maps drone markers correctly for all concurrent vehicles.</t>
  </si>
  <si>
    <t>Multi-vehicle tracking scaling bounds verified via simulated vehicle stream tests.</t>
  </si>
  <si>
    <t>EV-ST-084</t>
  </si>
  <si>
    <t>EV-ST-085</t>
  </si>
  <si>
    <t>EV-ST-086</t>
  </si>
  <si>
    <t>EV-ST-087</t>
  </si>
  <si>
    <t>EV-ST-088</t>
  </si>
  <si>
    <t>EV-ST-089</t>
  </si>
  <si>
    <t>EV-ST-090</t>
  </si>
  <si>
    <t>EV-ST-091</t>
  </si>
  <si>
    <t>EV-ST-092</t>
  </si>
  <si>
    <t>EV-ST-093</t>
  </si>
  <si>
    <t>EV-ST-094</t>
  </si>
  <si>
    <t>EV-ST-095</t>
  </si>
  <si>
    <t>TiHANFly GCS - System Testing Defect &amp; Issue Log Database</t>
  </si>
  <si>
    <t>Defect ID</t>
  </si>
  <si>
    <t>Requirement ID</t>
  </si>
  <si>
    <t>Severity</t>
  </si>
  <si>
    <t>Priority</t>
  </si>
  <si>
    <t>Root Cause</t>
  </si>
  <si>
    <t>Fix Version</t>
  </si>
  <si>
    <t>DF-ST-004</t>
  </si>
  <si>
    <t>REQ-CONN-002</t>
  </si>
  <si>
    <t>Vehicle Connection Management</t>
  </si>
  <si>
    <t>Closed</t>
  </si>
  <si>
    <t>textbox does not sanitize string input for custom UDP/TCP ports in comm-link.js.</t>
  </si>
  <si>
    <t>v1.1.0</t>
  </si>
  <si>
    <t>Resolved. Regular expression filter validation added in comm-link.js to sanitize and restrict port range input.</t>
  </si>
  <si>
    <t>DF-ST-050</t>
  </si>
  <si>
    <t>REQ-PARAM-002</t>
  </si>
  <si>
    <t>The GCS UI grid editor does not block writing negative numbers locally to caching files inside param-full.js.</t>
  </si>
  <si>
    <t>Resolved. Boundary checking and local metadata-based range validation implemented in param-full.js.</t>
  </si>
  <si>
    <t>DF-ST-070</t>
  </si>
  <si>
    <t>REQ-UI-002</t>
  </si>
  <si>
    <t>Offline tile map rendering component in tmap.js triggers thread crash when Custom outdoor contrast stylesheet is set.</t>
  </si>
  <si>
    <t>Resolved. Network connectivity detection and Leaflet offline tile resource fallback added in tmap.js.</t>
  </si>
  <si>
    <t>TiHANFly GCS - Requirement Traceability Matrix (RTM)</t>
  </si>
  <si>
    <t>Requirement Description</t>
  </si>
  <si>
    <t>Coverage Status</t>
  </si>
  <si>
    <t>REQ-ALT-001</t>
  </si>
  <si>
    <t>The GCS shall pop up persistent visual overlays and play audio alerts on critical failsafes (e.g. Battery Critical, GPS Glitch, RC Fail).</t>
  </si>
  <si>
    <t>Alert &amp; Warning Generation</t>
  </si>
  <si>
    <t>Covered</t>
  </si>
  <si>
    <t>REQ-ALT-002</t>
  </si>
  <si>
    <t>The GCS shall host a scrollable console panel displaying full history of status text logs received from the vehicle.</t>
  </si>
  <si>
    <t>REQ-ARM-001</t>
  </si>
  <si>
    <t>The GCS shall transmit arming commands to the autopilot, verifying the pre-arm check status and armed state confirmation.</t>
  </si>
  <si>
    <t>Arm / Disarm Operations</t>
  </si>
  <si>
    <t>REQ-ARM-002</t>
  </si>
  <si>
    <t>The GCS shall transmit disarming commands, changing state from armed to disarmed with explicit visual feedback.</t>
  </si>
  <si>
    <t>REQ-CONN-001</t>
  </si>
  <si>
    <t>The GCS shall auto-discover connected UAVs broadcasting MAVLink heartbeats on specified UDP/TCP ports.</t>
  </si>
  <si>
    <t>The GCS shall allow manual network setup (UDP port bindings, TCP hosts, baud rates) for telemetry links.</t>
  </si>
  <si>
    <t>REQ-CONN-003</t>
  </si>
  <si>
    <t>The GCS shall support graceful disconnection of active vehicles and clean release of socket resources.</t>
  </si>
  <si>
    <t>REQ-GEO-001</t>
  </si>
  <si>
    <t>The GCS shall display configured circular or polygon geofences and support altitude boundaries.</t>
  </si>
  <si>
    <t>REQ-GEO-002</t>
  </si>
  <si>
    <t>The GCS shall generate warnings and display alert banners immediately (&lt;1.0s) when a vehicle breaches geofence boundaries.</t>
  </si>
  <si>
    <t>REQ-LOG-001</t>
  </si>
  <si>
    <t>The GCS main process shall log UI telemetry, IPC payloads, and critical exceptions to local logs.</t>
  </si>
  <si>
    <t>System Logging</t>
  </si>
  <si>
    <t>REQ-LOG-002</t>
  </si>
  <si>
    <t>The GCS shall download, store, and review vehicle binary dataflash logs (.bin) and telemetry logs (.tlog) for diagnostics.</t>
  </si>
  <si>
    <t>REQ-MAP-001</t>
  </si>
  <si>
    <t>The GCS shall render a responsive interactive map with coordinate grids, supporting offline tile caching and custom styling.</t>
  </si>
  <si>
    <t>Map Operations</t>
  </si>
  <si>
    <t>REQ-MAP-002</t>
  </si>
  <si>
    <t>The GCS map shall trace the vehicle's historic flight path and project its heading in real time.</t>
  </si>
  <si>
    <t>REQ-MAV-001</t>
  </si>
  <si>
    <t>The GCS shall implement the MAVLink protocol, validating heartbeat message reception at regular intervals.</t>
  </si>
  <si>
    <t>REQ-MAV-002</t>
  </si>
  <si>
    <t>The GCS shall reject corrupt or malformed MAVLink packets by validating message checksums (CRC).</t>
  </si>
  <si>
    <t>REQ-MAV-003</t>
  </si>
  <si>
    <t>The GCS shall handle packet sequencing, identifying packet loss and out-of-order delivery issues.</t>
  </si>
  <si>
    <t>REQ-MIS-PLAN-001</t>
  </si>
  <si>
    <t>The GCS shall support drawing, adding, editing, reordering, and deleting waypoints on the mission planning interface.</t>
  </si>
  <si>
    <t>REQ-MIS-PLAN-002</t>
  </si>
  <si>
    <t>The GCS shall allow specifying command actions (e.g., waypoint, takeoff, land, loiter time, ROI) and target altitudes per item.</t>
  </si>
  <si>
    <t>REQ-MIS-TX-001</t>
  </si>
  <si>
    <t>The GCS shall execute a multi-step transaction upload handshake to transmit waypoint lists to the UAV, verifying write success.</t>
  </si>
  <si>
    <t>Mission Upload / Download</t>
  </si>
  <si>
    <t>REQ-MIS-TX-002</t>
  </si>
  <si>
    <t>The GCS shall download the current mission active in the autopilot, updating the mission editor panel.</t>
  </si>
  <si>
    <t>REQ-MODE-001</t>
  </si>
  <si>
    <t>The GCS shall allow the user to switch between supported autopilot flight modes (e.g., Stabilize, AltHold, Loiter, Guided, RTL, Auto).</t>
  </si>
  <si>
    <t>Flight Mode Management</t>
  </si>
  <si>
    <t>REQ-MODE-002</t>
  </si>
  <si>
    <t>The GCS shall verify that flight mode transitions complete within 1000ms and are highlighted in the UI header.</t>
  </si>
  <si>
    <t>REQ-MVS-001</t>
  </si>
  <si>
    <t>The GCS shall auto-discover, track, and isolate telemetry flows for up to 5 vehicles simultaneously on a shared connection port.</t>
  </si>
  <si>
    <t>REQ-MVS-002</t>
  </si>
  <si>
    <t>The GCS selector tabs shall switch focus, ensuring commands, parameters, and missions are directed only to the active vehicle.</t>
  </si>
  <si>
    <t>REQ-PARAM-001</t>
  </si>
  <si>
    <t>The GCS shall load full parameter lists from the autopilot and provide search, filter, and categorisation options.</t>
  </si>
  <si>
    <t>The GCS shall write updated parameter values back to the autopilot, validating the write outcome and maintaining local caching.</t>
  </si>
  <si>
    <t>REQ-PERF-001</t>
  </si>
  <si>
    <t>The GCS shall maintain a low footprint: CPU utilisation &lt; 15% and RAM heap &lt; 350MB under continuous telemetry stream.</t>
  </si>
  <si>
    <t>REQ-PERF-002</t>
  </si>
  <si>
    <t>The GCS UI thread shall remain responsive, avoiding frame-drops and keeping event handling latency under 100ms.</t>
  </si>
  <si>
    <t>REQ-REC-001</t>
  </si>
  <si>
    <t>The GCS shall automatically attempt to reconnect telemetry streams upon link drop within a 2.0s threshold.</t>
  </si>
  <si>
    <t>REQ-REC-002</t>
  </si>
  <si>
    <t>The GCS state manager shall recover parameters and telemetry caches seamlessly across application reloads.</t>
  </si>
  <si>
    <t>REQ-SET-001</t>
  </si>
  <si>
    <t>The GCS shall persist user settings, window sizes, and local directories safely between application restarts.</t>
  </si>
  <si>
    <t>Settings Management</t>
  </si>
  <si>
    <t>REQ-TEL-001</t>
  </si>
  <si>
    <t>The GCS shall display live flight parameters including altitude, GPS coordinates, attitude (roll, pitch, yaw), battery voltage, and current flight mode.</t>
  </si>
  <si>
    <t>REQ-TEL-002</t>
  </si>
  <si>
    <t>The GCS HUD and dashboard Gauges shall render telemetry updates smoothly at a telemetry rate of at least 10Hz.</t>
  </si>
  <si>
    <t>REQ-UI-001</t>
  </si>
  <si>
    <t>The GCS shall provide responsive panels (Dashboard, Parameters, Calibration, Camera) loading in under 500ms.</t>
  </si>
  <si>
    <t>The GCS shall support clean UI scaling, fluid resizing, and a selectable high-contrast theme for outdoor field operations.</t>
  </si>
  <si>
    <t>TiHANFly GCS - Performance &amp; Reliability Verification Report</t>
  </si>
  <si>
    <t>Metric Name</t>
  </si>
  <si>
    <t>Category</t>
  </si>
  <si>
    <t>Target Value</t>
  </si>
  <si>
    <t>Measured Value</t>
  </si>
  <si>
    <t>Unit</t>
  </si>
  <si>
    <t>Average CPU Utilization</t>
  </si>
  <si>
    <t>%</t>
  </si>
  <si>
    <t>RAM Utilization (Active Session)</t>
  </si>
  <si>
    <t>MB</t>
  </si>
  <si>
    <t>Telemetry Link Latency</t>
  </si>
  <si>
    <t>ms</t>
  </si>
  <si>
    <t>Application Startup Time</t>
  </si>
  <si>
    <t>seconds</t>
  </si>
  <si>
    <t>Vehicle Connection/Discovery Time</t>
  </si>
  <si>
    <t>Mission Upload Time (50 Waypoints)</t>
  </si>
  <si>
    <t>Map Render &amp; Offline Tile Load Time</t>
  </si>
  <si>
    <t>Continuous Application Uptime</t>
  </si>
  <si>
    <t>hours</t>
  </si>
  <si>
    <t>Memory Growth Rate (Heap Leak Check)</t>
  </si>
  <si>
    <t>MB/hour</t>
  </si>
  <si>
    <t>Reconnection Success Rate (10 cycles)</t>
  </si>
  <si>
    <t>MAVLink Packet Loss Rate</t>
  </si>
  <si>
    <t>Telemetry Heartbeat Drop Count</t>
  </si>
  <si>
    <t>drops</t>
  </si>
  <si>
    <t>Application Process Crashes</t>
  </si>
  <si>
    <t>crashes</t>
  </si>
  <si>
    <t>TiHANFly GCS - System Testing Regression Run History</t>
  </si>
  <si>
    <t>Build Number</t>
  </si>
  <si>
    <t>Pass %</t>
  </si>
  <si>
    <t>v1.0.0</t>
  </si>
  <si>
    <t>2026-05-15</t>
  </si>
  <si>
    <t>84.21%</t>
  </si>
  <si>
    <t>v1.0.1</t>
  </si>
  <si>
    <t>2026-06-01</t>
  </si>
  <si>
    <t>92.63%</t>
  </si>
  <si>
    <t>v1.1.0-RC3</t>
  </si>
  <si>
    <t>95.79%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</si>
</sst>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Segoe UI"/>
    </font>
    <font>
      <b/>
      <sz val="11"/>
      <color rgb="FFFFFFFF"/>
      <name val="Segoe UI"/>
    </font>
    <font>
      <sz val="11"/>
      <name val="Segoe UI"/>
    </font>
    <font>
      <b/>
      <sz val="11"/>
      <color rgb="FF155724"/>
      <name val="Segoe UI"/>
    </font>
    <font>
      <u/>
      <sz val="11"/>
      <color rgb="FF0056B3"/>
      <name val="Segoe UI"/>
    </font>
    <font>
      <b/>
      <sz val="11"/>
      <name val="Segoe UI"/>
    </font>
    <font>
      <b/>
      <sz val="11"/>
      <color rgb="FF721C24"/>
      <name val="Segoe UI"/>
    </font>
    <font>
      <b/>
      <sz val="16"/>
      <color rgb="FF1A2332"/>
      <name val="Segoe UI"/>
    </font>
    <font>
      <b/>
      <sz val="12"/>
      <color rgb="FF155724"/>
      <name val="Segoe UI"/>
    </font>
    <font>
      <b/>
      <sz val="12"/>
      <color rgb="FF1A2332"/>
      <name val="Segoe U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2F4F7"/>
        <bgColor rgb="FFF2F4F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0" fillId="0" borderId="0" xfId="0" applyFont="1"/>
    <xf numFmtId="0" fontId="6" fillId="5" borderId="1" xfId="0" applyFont="1" applyFill="1" applyBorder="1"/>
    <xf numFmtId="0" fontId="3" fillId="0" borderId="1" xfId="0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right"/>
    </xf>
    <xf numFmtId="0" fontId="9" fillId="3" borderId="1" xfId="0" applyFont="1" applyFill="1" applyBorder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Test Execution Status Breakdown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Summary_Dashboard!$C$25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explosion val="11"/>
          <c:cat>
            <c:strRef>
              <c:f>Summary_Dashboard!$B$26:$B$28</c:f>
              <c:strCache>
                <c:ptCount val="3"/>
                <c:pt idx="0">
                  <c:v>PASS</c:v>
                </c:pt>
                <c:pt idx="1">
                  <c:v>FAIL</c:v>
                </c:pt>
                <c:pt idx="2">
                  <c:v>BLOCKED</c:v>
                </c:pt>
              </c:strCache>
            </c:strRef>
          </c:cat>
          <c:val>
            <c:numRef>
              <c:f>Summary_Dashboard!$C$26:$C$28</c:f>
              <c:numCache>
                <c:formatCode>General</c:formatCode>
                <c:ptCount val="3"/>
                <c:pt idx="0">
                  <c:v>95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0-420A-9778-5A70AD043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System Test Cases per Module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3650793650793648E-2"/>
          <c:y val="4.0650406504065045E-3"/>
          <c:w val="0.95634920634920639"/>
          <c:h val="0.9105691056910568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Summary_Dashboard!$F$25</c:f>
              <c:strCache>
                <c:ptCount val="1"/>
                <c:pt idx="0">
                  <c:v>Test Cases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Summary_Dashboard!$E$26:$E$37</c:f>
              <c:strCache>
                <c:ptCount val="12"/>
                <c:pt idx="0">
                  <c:v>Connectivity</c:v>
                </c:pt>
                <c:pt idx="1">
                  <c:v>MAVLink</c:v>
                </c:pt>
                <c:pt idx="2">
                  <c:v>Flight Ops</c:v>
                </c:pt>
                <c:pt idx="3">
                  <c:v>Planner</c:v>
                </c:pt>
                <c:pt idx="4">
                  <c:v>Params</c:v>
                </c:pt>
                <c:pt idx="5">
                  <c:v>Geofence</c:v>
                </c:pt>
                <c:pt idx="6">
                  <c:v>Telemetry</c:v>
                </c:pt>
                <c:pt idx="7">
                  <c:v>UI Nav</c:v>
                </c:pt>
                <c:pt idx="8">
                  <c:v>Recovery</c:v>
                </c:pt>
                <c:pt idx="9">
                  <c:v>Multi-Vehicle</c:v>
                </c:pt>
                <c:pt idx="10">
                  <c:v>Performance</c:v>
                </c:pt>
                <c:pt idx="11">
                  <c:v>Reliability</c:v>
                </c:pt>
              </c:strCache>
            </c:strRef>
          </c:cat>
          <c:val>
            <c:numRef>
              <c:f>Summary_Dashboard!$F$26:$F$37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5</c:v>
                </c:pt>
                <c:pt idx="6">
                  <c:v>10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6-4095-ADB5-6919C75BF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Module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Test 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289560</xdr:colOff>
      <xdr:row>28</xdr:row>
      <xdr:rowOff>15240</xdr:rowOff>
    </xdr:from>
    <xdr:ext cx="3960000" cy="27203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24</xdr:row>
      <xdr:rowOff>0</xdr:rowOff>
    </xdr:from>
    <xdr:ext cx="6400800" cy="3124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7"/>
  <sheetViews>
    <sheetView tabSelected="1" topLeftCell="A16" workbookViewId="0">
      <selection activeCell="H49" sqref="H49"/>
    </sheetView>
  </sheetViews>
  <sheetFormatPr defaultRowHeight="14.4" x14ac:dyDescent="0.3"/>
  <cols>
    <col min="1" max="1" width="11" customWidth="1"/>
    <col min="2" max="2" width="28" customWidth="1"/>
    <col min="3" max="3" width="12" customWidth="1"/>
    <col min="4" max="4" width="11" customWidth="1"/>
    <col min="5" max="5" width="36" customWidth="1"/>
    <col min="6" max="6" width="13" customWidth="1"/>
    <col min="7" max="8" width="11" customWidth="1"/>
  </cols>
  <sheetData>
    <row r="2" spans="2:8" ht="40.049999999999997" customHeight="1" x14ac:dyDescent="0.3">
      <c r="B2" s="16" t="s">
        <v>0</v>
      </c>
      <c r="C2" s="15"/>
      <c r="D2" s="15"/>
      <c r="E2" s="15"/>
      <c r="F2" s="15"/>
      <c r="G2" s="15"/>
      <c r="H2" s="15"/>
    </row>
    <row r="4" spans="2:8" ht="30" customHeight="1" x14ac:dyDescent="0.3">
      <c r="B4" s="14" t="s">
        <v>1</v>
      </c>
      <c r="C4" s="15"/>
      <c r="D4" s="15"/>
      <c r="E4" s="15"/>
      <c r="F4" s="15"/>
      <c r="G4" s="15"/>
      <c r="H4" s="15"/>
    </row>
    <row r="6" spans="2:8" ht="19.2" x14ac:dyDescent="0.45">
      <c r="B6" s="1" t="s">
        <v>2</v>
      </c>
      <c r="E6" s="1" t="s">
        <v>3</v>
      </c>
    </row>
    <row r="7" spans="2:8" ht="19.95" customHeight="1" x14ac:dyDescent="0.4">
      <c r="B7" s="2" t="s">
        <v>4</v>
      </c>
      <c r="C7" s="3">
        <v>95</v>
      </c>
      <c r="E7" s="2" t="s">
        <v>5</v>
      </c>
      <c r="F7" s="3">
        <v>35</v>
      </c>
    </row>
    <row r="8" spans="2:8" ht="19.95" customHeight="1" x14ac:dyDescent="0.4">
      <c r="B8" s="2" t="s">
        <v>6</v>
      </c>
      <c r="C8" s="3">
        <v>95</v>
      </c>
      <c r="E8" s="2" t="s">
        <v>7</v>
      </c>
      <c r="F8" s="3">
        <v>35</v>
      </c>
    </row>
    <row r="9" spans="2:8" ht="19.95" customHeight="1" x14ac:dyDescent="0.4">
      <c r="B9" s="2" t="s">
        <v>8</v>
      </c>
      <c r="C9" s="3">
        <v>0</v>
      </c>
      <c r="E9" s="2" t="s">
        <v>9</v>
      </c>
      <c r="F9" s="3">
        <v>0</v>
      </c>
    </row>
    <row r="10" spans="2:8" ht="19.95" customHeight="1" x14ac:dyDescent="0.4">
      <c r="B10" s="2" t="s">
        <v>10</v>
      </c>
      <c r="C10" s="3">
        <v>0</v>
      </c>
      <c r="E10" s="2" t="s">
        <v>11</v>
      </c>
      <c r="F10" s="3">
        <v>0</v>
      </c>
    </row>
    <row r="11" spans="2:8" ht="19.95" customHeight="1" x14ac:dyDescent="0.4">
      <c r="B11" s="2" t="s">
        <v>12</v>
      </c>
      <c r="C11" s="4" t="s">
        <v>13</v>
      </c>
      <c r="E11" s="2" t="s">
        <v>14</v>
      </c>
      <c r="F11" s="4" t="s">
        <v>13</v>
      </c>
    </row>
    <row r="12" spans="2:8" ht="19.95" customHeight="1" x14ac:dyDescent="0.4">
      <c r="B12" s="2" t="s">
        <v>15</v>
      </c>
      <c r="C12" s="3" t="s">
        <v>16</v>
      </c>
    </row>
    <row r="14" spans="2:8" ht="19.2" x14ac:dyDescent="0.45">
      <c r="E14" s="1" t="s">
        <v>17</v>
      </c>
    </row>
    <row r="15" spans="2:8" ht="19.95" customHeight="1" x14ac:dyDescent="0.45">
      <c r="B15" s="1" t="s">
        <v>18</v>
      </c>
      <c r="E15" s="5" t="s">
        <v>19</v>
      </c>
      <c r="F15" s="5" t="s">
        <v>20</v>
      </c>
      <c r="G15" s="5" t="s">
        <v>21</v>
      </c>
      <c r="H15" s="5" t="s">
        <v>22</v>
      </c>
    </row>
    <row r="16" spans="2:8" ht="19.95" customHeight="1" x14ac:dyDescent="0.4">
      <c r="B16" s="2" t="s">
        <v>23</v>
      </c>
      <c r="C16" s="3">
        <v>0</v>
      </c>
      <c r="E16" s="6" t="s">
        <v>24</v>
      </c>
      <c r="F16" s="7" t="s">
        <v>25</v>
      </c>
      <c r="G16" s="3" t="s">
        <v>26</v>
      </c>
      <c r="H16" s="8" t="s">
        <v>27</v>
      </c>
    </row>
    <row r="17" spans="2:8" ht="19.95" customHeight="1" x14ac:dyDescent="0.4">
      <c r="B17" s="2" t="s">
        <v>28</v>
      </c>
      <c r="C17" s="3">
        <v>0</v>
      </c>
      <c r="E17" s="6" t="s">
        <v>29</v>
      </c>
      <c r="F17" s="7" t="s">
        <v>30</v>
      </c>
      <c r="G17" s="3" t="s">
        <v>31</v>
      </c>
      <c r="H17" s="8" t="s">
        <v>27</v>
      </c>
    </row>
    <row r="18" spans="2:8" ht="19.95" customHeight="1" x14ac:dyDescent="0.4">
      <c r="B18" s="2" t="s">
        <v>32</v>
      </c>
      <c r="C18" s="3">
        <v>0</v>
      </c>
      <c r="E18" s="6" t="s">
        <v>33</v>
      </c>
      <c r="F18" s="7" t="s">
        <v>34</v>
      </c>
      <c r="G18" s="3" t="s">
        <v>35</v>
      </c>
      <c r="H18" s="8" t="s">
        <v>27</v>
      </c>
    </row>
    <row r="19" spans="2:8" ht="19.95" customHeight="1" x14ac:dyDescent="0.4">
      <c r="B19" s="2" t="s">
        <v>36</v>
      </c>
      <c r="C19" s="3">
        <v>0</v>
      </c>
      <c r="E19" s="6" t="s">
        <v>37</v>
      </c>
      <c r="F19" s="7" t="s">
        <v>38</v>
      </c>
      <c r="G19" s="3" t="s">
        <v>39</v>
      </c>
      <c r="H19" s="8" t="s">
        <v>27</v>
      </c>
    </row>
    <row r="20" spans="2:8" ht="19.95" customHeight="1" x14ac:dyDescent="0.4">
      <c r="B20" s="2" t="s">
        <v>40</v>
      </c>
      <c r="C20" s="3">
        <v>0</v>
      </c>
      <c r="E20" s="6" t="s">
        <v>41</v>
      </c>
      <c r="F20" s="7" t="s">
        <v>42</v>
      </c>
      <c r="G20" s="3" t="s">
        <v>42</v>
      </c>
      <c r="H20" s="8" t="s">
        <v>27</v>
      </c>
    </row>
    <row r="21" spans="2:8" ht="19.95" customHeight="1" x14ac:dyDescent="0.4">
      <c r="E21" s="6" t="s">
        <v>43</v>
      </c>
      <c r="F21" s="7" t="s">
        <v>44</v>
      </c>
      <c r="G21" s="3" t="s">
        <v>45</v>
      </c>
      <c r="H21" s="8" t="s">
        <v>27</v>
      </c>
    </row>
    <row r="25" spans="2:8" x14ac:dyDescent="0.3">
      <c r="B25" s="23" t="s">
        <v>22</v>
      </c>
      <c r="C25" s="23" t="s">
        <v>46</v>
      </c>
      <c r="E25" s="23" t="s">
        <v>47</v>
      </c>
      <c r="F25" s="23" t="s">
        <v>48</v>
      </c>
    </row>
    <row r="26" spans="2:8" x14ac:dyDescent="0.3">
      <c r="B26" t="s">
        <v>27</v>
      </c>
      <c r="C26">
        <v>95</v>
      </c>
      <c r="E26" t="s">
        <v>49</v>
      </c>
      <c r="F26">
        <v>10</v>
      </c>
    </row>
    <row r="27" spans="2:8" x14ac:dyDescent="0.3">
      <c r="B27" t="s">
        <v>50</v>
      </c>
      <c r="C27">
        <v>0</v>
      </c>
      <c r="E27" t="s">
        <v>51</v>
      </c>
      <c r="F27">
        <v>10</v>
      </c>
    </row>
    <row r="28" spans="2:8" x14ac:dyDescent="0.3">
      <c r="B28" t="s">
        <v>52</v>
      </c>
      <c r="C28">
        <v>0</v>
      </c>
      <c r="E28" t="s">
        <v>53</v>
      </c>
      <c r="F28">
        <v>10</v>
      </c>
    </row>
    <row r="29" spans="2:8" x14ac:dyDescent="0.3">
      <c r="E29" t="s">
        <v>54</v>
      </c>
      <c r="F29">
        <v>10</v>
      </c>
    </row>
    <row r="30" spans="2:8" x14ac:dyDescent="0.3">
      <c r="E30" t="s">
        <v>55</v>
      </c>
      <c r="F30">
        <v>10</v>
      </c>
    </row>
    <row r="31" spans="2:8" x14ac:dyDescent="0.3">
      <c r="E31" t="s">
        <v>56</v>
      </c>
      <c r="F31">
        <v>5</v>
      </c>
    </row>
    <row r="32" spans="2:8" x14ac:dyDescent="0.3">
      <c r="E32" t="s">
        <v>57</v>
      </c>
      <c r="F32">
        <v>10</v>
      </c>
    </row>
    <row r="33" spans="5:6" x14ac:dyDescent="0.3">
      <c r="E33" t="s">
        <v>58</v>
      </c>
      <c r="F33">
        <v>10</v>
      </c>
    </row>
    <row r="34" spans="5:6" x14ac:dyDescent="0.3">
      <c r="E34" t="s">
        <v>59</v>
      </c>
      <c r="F34">
        <v>5</v>
      </c>
    </row>
    <row r="35" spans="5:6" x14ac:dyDescent="0.3">
      <c r="E35" t="s">
        <v>60</v>
      </c>
      <c r="F35">
        <v>5</v>
      </c>
    </row>
    <row r="36" spans="5:6" x14ac:dyDescent="0.3">
      <c r="E36" t="s">
        <v>61</v>
      </c>
      <c r="F36">
        <v>5</v>
      </c>
    </row>
    <row r="37" spans="5:6" x14ac:dyDescent="0.3">
      <c r="E37" t="s">
        <v>62</v>
      </c>
      <c r="F37">
        <v>5</v>
      </c>
    </row>
  </sheetData>
  <mergeCells count="2">
    <mergeCell ref="B4:H4"/>
    <mergeCell ref="B2:H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9"/>
  <sheetViews>
    <sheetView workbookViewId="0"/>
  </sheetViews>
  <sheetFormatPr defaultRowHeight="14.4" x14ac:dyDescent="0.3"/>
  <cols>
    <col min="1" max="1" width="15" customWidth="1"/>
    <col min="2" max="2" width="35" customWidth="1"/>
    <col min="3" max="6" width="50" customWidth="1"/>
  </cols>
  <sheetData>
    <row r="2" spans="1:6" ht="30" customHeight="1" x14ac:dyDescent="0.3">
      <c r="A2" s="17" t="s">
        <v>63</v>
      </c>
      <c r="B2" s="15"/>
      <c r="C2" s="15"/>
      <c r="D2" s="15"/>
      <c r="E2" s="15"/>
      <c r="F2" s="15"/>
    </row>
    <row r="4" spans="1:6" ht="24" customHeight="1" x14ac:dyDescent="0.4">
      <c r="A4" s="5" t="s">
        <v>64</v>
      </c>
      <c r="B4" s="9" t="s">
        <v>47</v>
      </c>
      <c r="C4" s="9" t="s">
        <v>65</v>
      </c>
      <c r="D4" s="9" t="s">
        <v>66</v>
      </c>
      <c r="E4" s="9" t="s">
        <v>67</v>
      </c>
      <c r="F4" s="9" t="s">
        <v>68</v>
      </c>
    </row>
    <row r="5" spans="1:6" ht="49.95" customHeight="1" x14ac:dyDescent="0.4">
      <c r="A5" s="7" t="s">
        <v>69</v>
      </c>
      <c r="B5" s="6" t="s">
        <v>70</v>
      </c>
      <c r="C5" s="10" t="s">
        <v>71</v>
      </c>
      <c r="D5" s="10" t="s">
        <v>72</v>
      </c>
      <c r="E5" s="10" t="s">
        <v>73</v>
      </c>
      <c r="F5" s="10" t="s">
        <v>74</v>
      </c>
    </row>
    <row r="6" spans="1:6" ht="49.95" customHeight="1" x14ac:dyDescent="0.4">
      <c r="A6" s="7" t="s">
        <v>75</v>
      </c>
      <c r="B6" s="6" t="s">
        <v>70</v>
      </c>
      <c r="C6" s="10" t="s">
        <v>76</v>
      </c>
      <c r="D6" s="10" t="s">
        <v>77</v>
      </c>
      <c r="E6" s="10" t="s">
        <v>78</v>
      </c>
      <c r="F6" s="10" t="s">
        <v>79</v>
      </c>
    </row>
    <row r="7" spans="1:6" ht="49.95" customHeight="1" x14ac:dyDescent="0.4">
      <c r="A7" s="7" t="s">
        <v>80</v>
      </c>
      <c r="B7" s="6" t="s">
        <v>70</v>
      </c>
      <c r="C7" s="10" t="s">
        <v>81</v>
      </c>
      <c r="D7" s="10" t="s">
        <v>82</v>
      </c>
      <c r="E7" s="10" t="s">
        <v>83</v>
      </c>
      <c r="F7" s="10" t="s">
        <v>84</v>
      </c>
    </row>
    <row r="8" spans="1:6" ht="49.95" customHeight="1" x14ac:dyDescent="0.4">
      <c r="A8" s="7" t="s">
        <v>85</v>
      </c>
      <c r="B8" s="6" t="s">
        <v>70</v>
      </c>
      <c r="C8" s="10" t="s">
        <v>86</v>
      </c>
      <c r="D8" s="10" t="s">
        <v>72</v>
      </c>
      <c r="E8" s="10" t="s">
        <v>87</v>
      </c>
      <c r="F8" s="10" t="s">
        <v>88</v>
      </c>
    </row>
    <row r="9" spans="1:6" ht="49.95" customHeight="1" x14ac:dyDescent="0.4">
      <c r="A9" s="7" t="s">
        <v>89</v>
      </c>
      <c r="B9" s="6" t="s">
        <v>70</v>
      </c>
      <c r="C9" s="10" t="s">
        <v>90</v>
      </c>
      <c r="D9" s="10" t="s">
        <v>91</v>
      </c>
      <c r="E9" s="10" t="s">
        <v>92</v>
      </c>
      <c r="F9" s="10" t="s">
        <v>93</v>
      </c>
    </row>
    <row r="10" spans="1:6" ht="49.95" customHeight="1" x14ac:dyDescent="0.4">
      <c r="A10" s="7" t="s">
        <v>94</v>
      </c>
      <c r="B10" s="6" t="s">
        <v>70</v>
      </c>
      <c r="C10" s="10" t="s">
        <v>95</v>
      </c>
      <c r="D10" s="10" t="s">
        <v>72</v>
      </c>
      <c r="E10" s="10" t="s">
        <v>73</v>
      </c>
      <c r="F10" s="10" t="s">
        <v>96</v>
      </c>
    </row>
    <row r="11" spans="1:6" ht="49.95" customHeight="1" x14ac:dyDescent="0.4">
      <c r="A11" s="7" t="s">
        <v>97</v>
      </c>
      <c r="B11" s="6" t="s">
        <v>70</v>
      </c>
      <c r="C11" s="10" t="s">
        <v>98</v>
      </c>
      <c r="D11" s="10" t="s">
        <v>72</v>
      </c>
      <c r="E11" s="10" t="s">
        <v>73</v>
      </c>
      <c r="F11" s="10" t="s">
        <v>96</v>
      </c>
    </row>
    <row r="12" spans="1:6" ht="49.95" customHeight="1" x14ac:dyDescent="0.4">
      <c r="A12" s="7" t="s">
        <v>99</v>
      </c>
      <c r="B12" s="6" t="s">
        <v>70</v>
      </c>
      <c r="C12" s="10" t="s">
        <v>100</v>
      </c>
      <c r="D12" s="10" t="s">
        <v>72</v>
      </c>
      <c r="E12" s="10" t="s">
        <v>73</v>
      </c>
      <c r="F12" s="10" t="s">
        <v>96</v>
      </c>
    </row>
    <row r="13" spans="1:6" ht="49.95" customHeight="1" x14ac:dyDescent="0.4">
      <c r="A13" s="7" t="s">
        <v>101</v>
      </c>
      <c r="B13" s="6" t="s">
        <v>70</v>
      </c>
      <c r="C13" s="10" t="s">
        <v>102</v>
      </c>
      <c r="D13" s="10" t="s">
        <v>72</v>
      </c>
      <c r="E13" s="10" t="s">
        <v>73</v>
      </c>
      <c r="F13" s="10" t="s">
        <v>96</v>
      </c>
    </row>
    <row r="14" spans="1:6" ht="49.95" customHeight="1" x14ac:dyDescent="0.4">
      <c r="A14" s="7" t="s">
        <v>103</v>
      </c>
      <c r="B14" s="6" t="s">
        <v>70</v>
      </c>
      <c r="C14" s="10" t="s">
        <v>104</v>
      </c>
      <c r="D14" s="10" t="s">
        <v>72</v>
      </c>
      <c r="E14" s="10" t="s">
        <v>73</v>
      </c>
      <c r="F14" s="10" t="s">
        <v>96</v>
      </c>
    </row>
    <row r="15" spans="1:6" ht="49.95" customHeight="1" x14ac:dyDescent="0.4">
      <c r="A15" s="7" t="s">
        <v>105</v>
      </c>
      <c r="B15" s="6" t="s">
        <v>106</v>
      </c>
      <c r="C15" s="10" t="s">
        <v>107</v>
      </c>
      <c r="D15" s="10" t="s">
        <v>108</v>
      </c>
      <c r="E15" s="10" t="s">
        <v>109</v>
      </c>
      <c r="F15" s="10" t="s">
        <v>110</v>
      </c>
    </row>
    <row r="16" spans="1:6" ht="49.95" customHeight="1" x14ac:dyDescent="0.4">
      <c r="A16" s="7" t="s">
        <v>111</v>
      </c>
      <c r="B16" s="6" t="s">
        <v>106</v>
      </c>
      <c r="C16" s="10" t="s">
        <v>112</v>
      </c>
      <c r="D16" s="10" t="s">
        <v>108</v>
      </c>
      <c r="E16" s="10" t="s">
        <v>109</v>
      </c>
      <c r="F16" s="10" t="s">
        <v>113</v>
      </c>
    </row>
    <row r="17" spans="1:6" ht="49.95" customHeight="1" x14ac:dyDescent="0.4">
      <c r="A17" s="7" t="s">
        <v>114</v>
      </c>
      <c r="B17" s="6" t="s">
        <v>106</v>
      </c>
      <c r="C17" s="10" t="s">
        <v>115</v>
      </c>
      <c r="D17" s="10" t="s">
        <v>116</v>
      </c>
      <c r="E17" s="10" t="s">
        <v>117</v>
      </c>
      <c r="F17" s="10" t="s">
        <v>118</v>
      </c>
    </row>
    <row r="18" spans="1:6" ht="49.95" customHeight="1" x14ac:dyDescent="0.4">
      <c r="A18" s="7" t="s">
        <v>119</v>
      </c>
      <c r="B18" s="6" t="s">
        <v>106</v>
      </c>
      <c r="C18" s="10" t="s">
        <v>120</v>
      </c>
      <c r="D18" s="10" t="s">
        <v>108</v>
      </c>
      <c r="E18" s="10" t="s">
        <v>109</v>
      </c>
      <c r="F18" s="10" t="s">
        <v>113</v>
      </c>
    </row>
    <row r="19" spans="1:6" ht="49.95" customHeight="1" x14ac:dyDescent="0.4">
      <c r="A19" s="7" t="s">
        <v>121</v>
      </c>
      <c r="B19" s="6" t="s">
        <v>106</v>
      </c>
      <c r="C19" s="10" t="s">
        <v>122</v>
      </c>
      <c r="D19" s="10" t="s">
        <v>123</v>
      </c>
      <c r="E19" s="10" t="s">
        <v>124</v>
      </c>
      <c r="F19" s="10" t="s">
        <v>125</v>
      </c>
    </row>
    <row r="20" spans="1:6" ht="49.95" customHeight="1" x14ac:dyDescent="0.4">
      <c r="A20" s="7" t="s">
        <v>126</v>
      </c>
      <c r="B20" s="6" t="s">
        <v>106</v>
      </c>
      <c r="C20" s="10" t="s">
        <v>127</v>
      </c>
      <c r="D20" s="10" t="s">
        <v>108</v>
      </c>
      <c r="E20" s="10" t="s">
        <v>109</v>
      </c>
      <c r="F20" s="10" t="s">
        <v>113</v>
      </c>
    </row>
    <row r="21" spans="1:6" ht="49.95" customHeight="1" x14ac:dyDescent="0.4">
      <c r="A21" s="7" t="s">
        <v>128</v>
      </c>
      <c r="B21" s="6" t="s">
        <v>106</v>
      </c>
      <c r="C21" s="10" t="s">
        <v>129</v>
      </c>
      <c r="D21" s="10" t="s">
        <v>108</v>
      </c>
      <c r="E21" s="10" t="s">
        <v>109</v>
      </c>
      <c r="F21" s="10" t="s">
        <v>113</v>
      </c>
    </row>
    <row r="22" spans="1:6" ht="49.95" customHeight="1" x14ac:dyDescent="0.4">
      <c r="A22" s="7" t="s">
        <v>130</v>
      </c>
      <c r="B22" s="6" t="s">
        <v>106</v>
      </c>
      <c r="C22" s="10" t="s">
        <v>131</v>
      </c>
      <c r="D22" s="10" t="s">
        <v>108</v>
      </c>
      <c r="E22" s="10" t="s">
        <v>109</v>
      </c>
      <c r="F22" s="10" t="s">
        <v>113</v>
      </c>
    </row>
    <row r="23" spans="1:6" ht="49.95" customHeight="1" x14ac:dyDescent="0.4">
      <c r="A23" s="7" t="s">
        <v>132</v>
      </c>
      <c r="B23" s="6" t="s">
        <v>106</v>
      </c>
      <c r="C23" s="10" t="s">
        <v>133</v>
      </c>
      <c r="D23" s="10" t="s">
        <v>108</v>
      </c>
      <c r="E23" s="10" t="s">
        <v>109</v>
      </c>
      <c r="F23" s="10" t="s">
        <v>113</v>
      </c>
    </row>
    <row r="24" spans="1:6" ht="49.95" customHeight="1" x14ac:dyDescent="0.4">
      <c r="A24" s="7" t="s">
        <v>134</v>
      </c>
      <c r="B24" s="6" t="s">
        <v>106</v>
      </c>
      <c r="C24" s="10" t="s">
        <v>135</v>
      </c>
      <c r="D24" s="10" t="s">
        <v>108</v>
      </c>
      <c r="E24" s="10" t="s">
        <v>109</v>
      </c>
      <c r="F24" s="10" t="s">
        <v>113</v>
      </c>
    </row>
    <row r="25" spans="1:6" ht="49.95" customHeight="1" x14ac:dyDescent="0.4">
      <c r="A25" s="7" t="s">
        <v>136</v>
      </c>
      <c r="B25" s="6" t="s">
        <v>137</v>
      </c>
      <c r="C25" s="10" t="s">
        <v>138</v>
      </c>
      <c r="D25" s="10" t="s">
        <v>139</v>
      </c>
      <c r="E25" s="10" t="s">
        <v>140</v>
      </c>
      <c r="F25" s="10" t="s">
        <v>141</v>
      </c>
    </row>
    <row r="26" spans="1:6" ht="49.95" customHeight="1" x14ac:dyDescent="0.4">
      <c r="A26" s="7" t="s">
        <v>142</v>
      </c>
      <c r="B26" s="6" t="s">
        <v>137</v>
      </c>
      <c r="C26" s="10" t="s">
        <v>143</v>
      </c>
      <c r="D26" s="10" t="s">
        <v>144</v>
      </c>
      <c r="E26" s="10" t="s">
        <v>145</v>
      </c>
      <c r="F26" s="10" t="s">
        <v>146</v>
      </c>
    </row>
    <row r="27" spans="1:6" ht="49.95" customHeight="1" x14ac:dyDescent="0.4">
      <c r="A27" s="7" t="s">
        <v>147</v>
      </c>
      <c r="B27" s="6" t="s">
        <v>137</v>
      </c>
      <c r="C27" s="10" t="s">
        <v>148</v>
      </c>
      <c r="D27" s="10" t="s">
        <v>139</v>
      </c>
      <c r="E27" s="10" t="s">
        <v>149</v>
      </c>
      <c r="F27" s="10" t="s">
        <v>150</v>
      </c>
    </row>
    <row r="28" spans="1:6" ht="49.95" customHeight="1" x14ac:dyDescent="0.4">
      <c r="A28" s="7" t="s">
        <v>151</v>
      </c>
      <c r="B28" s="6" t="s">
        <v>137</v>
      </c>
      <c r="C28" s="10" t="s">
        <v>152</v>
      </c>
      <c r="D28" s="10" t="s">
        <v>139</v>
      </c>
      <c r="E28" s="10" t="s">
        <v>153</v>
      </c>
      <c r="F28" s="10" t="s">
        <v>154</v>
      </c>
    </row>
    <row r="29" spans="1:6" ht="49.95" customHeight="1" x14ac:dyDescent="0.4">
      <c r="A29" s="7" t="s">
        <v>155</v>
      </c>
      <c r="B29" s="6" t="s">
        <v>137</v>
      </c>
      <c r="C29" s="10" t="s">
        <v>156</v>
      </c>
      <c r="D29" s="10" t="s">
        <v>139</v>
      </c>
      <c r="E29" s="10" t="s">
        <v>153</v>
      </c>
      <c r="F29" s="10" t="s">
        <v>154</v>
      </c>
    </row>
    <row r="30" spans="1:6" ht="49.95" customHeight="1" x14ac:dyDescent="0.4">
      <c r="A30" s="7" t="s">
        <v>157</v>
      </c>
      <c r="B30" s="6" t="s">
        <v>137</v>
      </c>
      <c r="C30" s="10" t="s">
        <v>158</v>
      </c>
      <c r="D30" s="10" t="s">
        <v>139</v>
      </c>
      <c r="E30" s="10" t="s">
        <v>153</v>
      </c>
      <c r="F30" s="10" t="s">
        <v>154</v>
      </c>
    </row>
    <row r="31" spans="1:6" ht="49.95" customHeight="1" x14ac:dyDescent="0.4">
      <c r="A31" s="7" t="s">
        <v>159</v>
      </c>
      <c r="B31" s="6" t="s">
        <v>137</v>
      </c>
      <c r="C31" s="10" t="s">
        <v>160</v>
      </c>
      <c r="D31" s="10" t="s">
        <v>139</v>
      </c>
      <c r="E31" s="10" t="s">
        <v>153</v>
      </c>
      <c r="F31" s="10" t="s">
        <v>154</v>
      </c>
    </row>
    <row r="32" spans="1:6" ht="49.95" customHeight="1" x14ac:dyDescent="0.4">
      <c r="A32" s="7" t="s">
        <v>161</v>
      </c>
      <c r="B32" s="6" t="s">
        <v>137</v>
      </c>
      <c r="C32" s="10" t="s">
        <v>162</v>
      </c>
      <c r="D32" s="10" t="s">
        <v>139</v>
      </c>
      <c r="E32" s="10" t="s">
        <v>153</v>
      </c>
      <c r="F32" s="10" t="s">
        <v>154</v>
      </c>
    </row>
    <row r="33" spans="1:6" ht="49.95" customHeight="1" x14ac:dyDescent="0.4">
      <c r="A33" s="7" t="s">
        <v>163</v>
      </c>
      <c r="B33" s="6" t="s">
        <v>137</v>
      </c>
      <c r="C33" s="10" t="s">
        <v>164</v>
      </c>
      <c r="D33" s="10" t="s">
        <v>139</v>
      </c>
      <c r="E33" s="10" t="s">
        <v>153</v>
      </c>
      <c r="F33" s="10" t="s">
        <v>154</v>
      </c>
    </row>
    <row r="34" spans="1:6" ht="49.95" customHeight="1" x14ac:dyDescent="0.4">
      <c r="A34" s="7" t="s">
        <v>165</v>
      </c>
      <c r="B34" s="6" t="s">
        <v>137</v>
      </c>
      <c r="C34" s="10" t="s">
        <v>166</v>
      </c>
      <c r="D34" s="10" t="s">
        <v>139</v>
      </c>
      <c r="E34" s="10" t="s">
        <v>153</v>
      </c>
      <c r="F34" s="10" t="s">
        <v>154</v>
      </c>
    </row>
    <row r="35" spans="1:6" ht="49.95" customHeight="1" x14ac:dyDescent="0.4">
      <c r="A35" s="7" t="s">
        <v>167</v>
      </c>
      <c r="B35" s="6" t="s">
        <v>168</v>
      </c>
      <c r="C35" s="10" t="s">
        <v>169</v>
      </c>
      <c r="D35" s="10" t="s">
        <v>170</v>
      </c>
      <c r="E35" s="10" t="s">
        <v>171</v>
      </c>
      <c r="F35" s="10" t="s">
        <v>172</v>
      </c>
    </row>
    <row r="36" spans="1:6" ht="49.95" customHeight="1" x14ac:dyDescent="0.4">
      <c r="A36" s="7" t="s">
        <v>173</v>
      </c>
      <c r="B36" s="6" t="s">
        <v>168</v>
      </c>
      <c r="C36" s="10" t="s">
        <v>174</v>
      </c>
      <c r="D36" s="10" t="s">
        <v>170</v>
      </c>
      <c r="E36" s="10" t="s">
        <v>171</v>
      </c>
      <c r="F36" s="10" t="s">
        <v>172</v>
      </c>
    </row>
    <row r="37" spans="1:6" ht="49.95" customHeight="1" x14ac:dyDescent="0.4">
      <c r="A37" s="7" t="s">
        <v>175</v>
      </c>
      <c r="B37" s="6" t="s">
        <v>168</v>
      </c>
      <c r="C37" s="10" t="s">
        <v>176</v>
      </c>
      <c r="D37" s="10" t="s">
        <v>170</v>
      </c>
      <c r="E37" s="10" t="s">
        <v>171</v>
      </c>
      <c r="F37" s="10" t="s">
        <v>172</v>
      </c>
    </row>
    <row r="38" spans="1:6" ht="49.95" customHeight="1" x14ac:dyDescent="0.4">
      <c r="A38" s="7" t="s">
        <v>177</v>
      </c>
      <c r="B38" s="6" t="s">
        <v>168</v>
      </c>
      <c r="C38" s="10" t="s">
        <v>178</v>
      </c>
      <c r="D38" s="10" t="s">
        <v>170</v>
      </c>
      <c r="E38" s="10" t="s">
        <v>171</v>
      </c>
      <c r="F38" s="10" t="s">
        <v>172</v>
      </c>
    </row>
    <row r="39" spans="1:6" ht="49.95" customHeight="1" x14ac:dyDescent="0.4">
      <c r="A39" s="7" t="s">
        <v>179</v>
      </c>
      <c r="B39" s="6" t="s">
        <v>168</v>
      </c>
      <c r="C39" s="10" t="s">
        <v>180</v>
      </c>
      <c r="D39" s="10" t="s">
        <v>170</v>
      </c>
      <c r="E39" s="10" t="s">
        <v>171</v>
      </c>
      <c r="F39" s="10" t="s">
        <v>172</v>
      </c>
    </row>
    <row r="40" spans="1:6" ht="49.95" customHeight="1" x14ac:dyDescent="0.4">
      <c r="A40" s="7" t="s">
        <v>181</v>
      </c>
      <c r="B40" s="6" t="s">
        <v>168</v>
      </c>
      <c r="C40" s="10" t="s">
        <v>182</v>
      </c>
      <c r="D40" s="10" t="s">
        <v>170</v>
      </c>
      <c r="E40" s="10" t="s">
        <v>171</v>
      </c>
      <c r="F40" s="10" t="s">
        <v>172</v>
      </c>
    </row>
    <row r="41" spans="1:6" ht="49.95" customHeight="1" x14ac:dyDescent="0.4">
      <c r="A41" s="7" t="s">
        <v>183</v>
      </c>
      <c r="B41" s="6" t="s">
        <v>168</v>
      </c>
      <c r="C41" s="10" t="s">
        <v>184</v>
      </c>
      <c r="D41" s="10" t="s">
        <v>170</v>
      </c>
      <c r="E41" s="10" t="s">
        <v>171</v>
      </c>
      <c r="F41" s="10" t="s">
        <v>172</v>
      </c>
    </row>
    <row r="42" spans="1:6" ht="49.95" customHeight="1" x14ac:dyDescent="0.4">
      <c r="A42" s="7" t="s">
        <v>185</v>
      </c>
      <c r="B42" s="6" t="s">
        <v>168</v>
      </c>
      <c r="C42" s="10" t="s">
        <v>186</v>
      </c>
      <c r="D42" s="10" t="s">
        <v>187</v>
      </c>
      <c r="E42" s="10" t="s">
        <v>188</v>
      </c>
      <c r="F42" s="10" t="s">
        <v>189</v>
      </c>
    </row>
    <row r="43" spans="1:6" ht="49.95" customHeight="1" x14ac:dyDescent="0.4">
      <c r="A43" s="7" t="s">
        <v>190</v>
      </c>
      <c r="B43" s="6" t="s">
        <v>168</v>
      </c>
      <c r="C43" s="10" t="s">
        <v>191</v>
      </c>
      <c r="D43" s="10" t="s">
        <v>192</v>
      </c>
      <c r="E43" s="10" t="s">
        <v>193</v>
      </c>
      <c r="F43" s="10" t="s">
        <v>194</v>
      </c>
    </row>
    <row r="44" spans="1:6" ht="49.95" customHeight="1" x14ac:dyDescent="0.4">
      <c r="A44" s="7" t="s">
        <v>195</v>
      </c>
      <c r="B44" s="6" t="s">
        <v>168</v>
      </c>
      <c r="C44" s="10" t="s">
        <v>196</v>
      </c>
      <c r="D44" s="10" t="s">
        <v>170</v>
      </c>
      <c r="E44" s="10" t="s">
        <v>171</v>
      </c>
      <c r="F44" s="10" t="s">
        <v>172</v>
      </c>
    </row>
    <row r="45" spans="1:6" ht="49.95" customHeight="1" x14ac:dyDescent="0.4">
      <c r="A45" s="7" t="s">
        <v>197</v>
      </c>
      <c r="B45" s="6" t="s">
        <v>198</v>
      </c>
      <c r="C45" s="10" t="s">
        <v>199</v>
      </c>
      <c r="D45" s="10" t="s">
        <v>200</v>
      </c>
      <c r="E45" s="10" t="s">
        <v>201</v>
      </c>
      <c r="F45" s="10" t="s">
        <v>202</v>
      </c>
    </row>
    <row r="46" spans="1:6" ht="49.95" customHeight="1" x14ac:dyDescent="0.4">
      <c r="A46" s="7" t="s">
        <v>203</v>
      </c>
      <c r="B46" s="6" t="s">
        <v>198</v>
      </c>
      <c r="C46" s="10" t="s">
        <v>204</v>
      </c>
      <c r="D46" s="10" t="s">
        <v>200</v>
      </c>
      <c r="E46" s="10" t="s">
        <v>201</v>
      </c>
      <c r="F46" s="10" t="s">
        <v>202</v>
      </c>
    </row>
    <row r="47" spans="1:6" ht="49.95" customHeight="1" x14ac:dyDescent="0.4">
      <c r="A47" s="7" t="s">
        <v>205</v>
      </c>
      <c r="B47" s="6" t="s">
        <v>198</v>
      </c>
      <c r="C47" s="10" t="s">
        <v>206</v>
      </c>
      <c r="D47" s="10" t="s">
        <v>200</v>
      </c>
      <c r="E47" s="10" t="s">
        <v>201</v>
      </c>
      <c r="F47" s="10" t="s">
        <v>202</v>
      </c>
    </row>
    <row r="48" spans="1:6" ht="49.95" customHeight="1" x14ac:dyDescent="0.4">
      <c r="A48" s="7" t="s">
        <v>207</v>
      </c>
      <c r="B48" s="6" t="s">
        <v>198</v>
      </c>
      <c r="C48" s="10" t="s">
        <v>208</v>
      </c>
      <c r="D48" s="10" t="s">
        <v>200</v>
      </c>
      <c r="E48" s="10" t="s">
        <v>201</v>
      </c>
      <c r="F48" s="10" t="s">
        <v>202</v>
      </c>
    </row>
    <row r="49" spans="1:6" ht="49.95" customHeight="1" x14ac:dyDescent="0.4">
      <c r="A49" s="7" t="s">
        <v>209</v>
      </c>
      <c r="B49" s="6" t="s">
        <v>198</v>
      </c>
      <c r="C49" s="10" t="s">
        <v>210</v>
      </c>
      <c r="D49" s="10" t="s">
        <v>200</v>
      </c>
      <c r="E49" s="10" t="s">
        <v>211</v>
      </c>
      <c r="F49" s="10" t="s">
        <v>212</v>
      </c>
    </row>
    <row r="50" spans="1:6" ht="49.95" customHeight="1" x14ac:dyDescent="0.4">
      <c r="A50" s="7" t="s">
        <v>213</v>
      </c>
      <c r="B50" s="6" t="s">
        <v>198</v>
      </c>
      <c r="C50" s="10" t="s">
        <v>214</v>
      </c>
      <c r="D50" s="10" t="s">
        <v>200</v>
      </c>
      <c r="E50" s="10" t="s">
        <v>215</v>
      </c>
      <c r="F50" s="10" t="s">
        <v>216</v>
      </c>
    </row>
    <row r="51" spans="1:6" ht="49.95" customHeight="1" x14ac:dyDescent="0.4">
      <c r="A51" s="7" t="s">
        <v>217</v>
      </c>
      <c r="B51" s="6" t="s">
        <v>198</v>
      </c>
      <c r="C51" s="10" t="s">
        <v>218</v>
      </c>
      <c r="D51" s="10" t="s">
        <v>200</v>
      </c>
      <c r="E51" s="10" t="s">
        <v>201</v>
      </c>
      <c r="F51" s="10" t="s">
        <v>202</v>
      </c>
    </row>
    <row r="52" spans="1:6" ht="49.95" customHeight="1" x14ac:dyDescent="0.4">
      <c r="A52" s="7" t="s">
        <v>219</v>
      </c>
      <c r="B52" s="6" t="s">
        <v>198</v>
      </c>
      <c r="C52" s="10" t="s">
        <v>220</v>
      </c>
      <c r="D52" s="10" t="s">
        <v>200</v>
      </c>
      <c r="E52" s="10" t="s">
        <v>201</v>
      </c>
      <c r="F52" s="10" t="s">
        <v>202</v>
      </c>
    </row>
    <row r="53" spans="1:6" ht="49.95" customHeight="1" x14ac:dyDescent="0.4">
      <c r="A53" s="7" t="s">
        <v>221</v>
      </c>
      <c r="B53" s="6" t="s">
        <v>198</v>
      </c>
      <c r="C53" s="10" t="s">
        <v>222</v>
      </c>
      <c r="D53" s="10" t="s">
        <v>200</v>
      </c>
      <c r="E53" s="10" t="s">
        <v>201</v>
      </c>
      <c r="F53" s="10" t="s">
        <v>202</v>
      </c>
    </row>
    <row r="54" spans="1:6" ht="49.95" customHeight="1" x14ac:dyDescent="0.4">
      <c r="A54" s="7" t="s">
        <v>223</v>
      </c>
      <c r="B54" s="6" t="s">
        <v>198</v>
      </c>
      <c r="C54" s="10" t="s">
        <v>224</v>
      </c>
      <c r="D54" s="10" t="s">
        <v>200</v>
      </c>
      <c r="E54" s="10" t="s">
        <v>225</v>
      </c>
      <c r="F54" s="10" t="s">
        <v>226</v>
      </c>
    </row>
    <row r="55" spans="1:6" ht="49.95" customHeight="1" x14ac:dyDescent="0.4">
      <c r="A55" s="7" t="s">
        <v>227</v>
      </c>
      <c r="B55" s="6" t="s">
        <v>228</v>
      </c>
      <c r="C55" s="10" t="s">
        <v>229</v>
      </c>
      <c r="D55" s="10" t="s">
        <v>230</v>
      </c>
      <c r="E55" s="10" t="s">
        <v>231</v>
      </c>
      <c r="F55" s="10" t="s">
        <v>232</v>
      </c>
    </row>
    <row r="56" spans="1:6" ht="49.95" customHeight="1" x14ac:dyDescent="0.4">
      <c r="A56" s="7" t="s">
        <v>233</v>
      </c>
      <c r="B56" s="6" t="s">
        <v>228</v>
      </c>
      <c r="C56" s="10" t="s">
        <v>234</v>
      </c>
      <c r="D56" s="10" t="s">
        <v>230</v>
      </c>
      <c r="E56" s="10" t="s">
        <v>231</v>
      </c>
      <c r="F56" s="10" t="s">
        <v>232</v>
      </c>
    </row>
    <row r="57" spans="1:6" ht="49.95" customHeight="1" x14ac:dyDescent="0.4">
      <c r="A57" s="7" t="s">
        <v>235</v>
      </c>
      <c r="B57" s="6" t="s">
        <v>228</v>
      </c>
      <c r="C57" s="10" t="s">
        <v>236</v>
      </c>
      <c r="D57" s="10" t="s">
        <v>237</v>
      </c>
      <c r="E57" s="10" t="s">
        <v>238</v>
      </c>
      <c r="F57" s="10" t="s">
        <v>239</v>
      </c>
    </row>
    <row r="58" spans="1:6" ht="49.95" customHeight="1" x14ac:dyDescent="0.4">
      <c r="A58" s="7" t="s">
        <v>240</v>
      </c>
      <c r="B58" s="6" t="s">
        <v>228</v>
      </c>
      <c r="C58" s="10" t="s">
        <v>241</v>
      </c>
      <c r="D58" s="10" t="s">
        <v>230</v>
      </c>
      <c r="E58" s="10" t="s">
        <v>242</v>
      </c>
      <c r="F58" s="10" t="s">
        <v>243</v>
      </c>
    </row>
    <row r="59" spans="1:6" ht="49.95" customHeight="1" x14ac:dyDescent="0.4">
      <c r="A59" s="7" t="s">
        <v>244</v>
      </c>
      <c r="B59" s="6" t="s">
        <v>228</v>
      </c>
      <c r="C59" s="10" t="s">
        <v>245</v>
      </c>
      <c r="D59" s="10" t="s">
        <v>230</v>
      </c>
      <c r="E59" s="10" t="s">
        <v>231</v>
      </c>
      <c r="F59" s="10" t="s">
        <v>232</v>
      </c>
    </row>
    <row r="60" spans="1:6" ht="49.95" customHeight="1" x14ac:dyDescent="0.4">
      <c r="A60" s="7" t="s">
        <v>246</v>
      </c>
      <c r="B60" s="6" t="s">
        <v>247</v>
      </c>
      <c r="C60" s="10" t="s">
        <v>248</v>
      </c>
      <c r="D60" s="10" t="s">
        <v>249</v>
      </c>
      <c r="E60" s="10" t="s">
        <v>250</v>
      </c>
      <c r="F60" s="10" t="s">
        <v>251</v>
      </c>
    </row>
    <row r="61" spans="1:6" ht="49.95" customHeight="1" x14ac:dyDescent="0.4">
      <c r="A61" s="7" t="s">
        <v>252</v>
      </c>
      <c r="B61" s="6" t="s">
        <v>247</v>
      </c>
      <c r="C61" s="10" t="s">
        <v>253</v>
      </c>
      <c r="D61" s="10" t="s">
        <v>249</v>
      </c>
      <c r="E61" s="10" t="s">
        <v>250</v>
      </c>
      <c r="F61" s="10" t="s">
        <v>254</v>
      </c>
    </row>
    <row r="62" spans="1:6" ht="49.95" customHeight="1" x14ac:dyDescent="0.4">
      <c r="A62" s="7" t="s">
        <v>255</v>
      </c>
      <c r="B62" s="6" t="s">
        <v>247</v>
      </c>
      <c r="C62" s="10" t="s">
        <v>256</v>
      </c>
      <c r="D62" s="10" t="s">
        <v>249</v>
      </c>
      <c r="E62" s="10" t="s">
        <v>250</v>
      </c>
      <c r="F62" s="10" t="s">
        <v>257</v>
      </c>
    </row>
    <row r="63" spans="1:6" ht="49.95" customHeight="1" x14ac:dyDescent="0.4">
      <c r="A63" s="7" t="s">
        <v>258</v>
      </c>
      <c r="B63" s="6" t="s">
        <v>247</v>
      </c>
      <c r="C63" s="10" t="s">
        <v>259</v>
      </c>
      <c r="D63" s="10" t="s">
        <v>249</v>
      </c>
      <c r="E63" s="10" t="s">
        <v>250</v>
      </c>
      <c r="F63" s="10" t="s">
        <v>257</v>
      </c>
    </row>
    <row r="64" spans="1:6" ht="49.95" customHeight="1" x14ac:dyDescent="0.4">
      <c r="A64" s="7" t="s">
        <v>260</v>
      </c>
      <c r="B64" s="6" t="s">
        <v>247</v>
      </c>
      <c r="C64" s="10" t="s">
        <v>261</v>
      </c>
      <c r="D64" s="10" t="s">
        <v>249</v>
      </c>
      <c r="E64" s="10" t="s">
        <v>250</v>
      </c>
      <c r="F64" s="10" t="s">
        <v>257</v>
      </c>
    </row>
    <row r="65" spans="1:6" ht="49.95" customHeight="1" x14ac:dyDescent="0.4">
      <c r="A65" s="7" t="s">
        <v>262</v>
      </c>
      <c r="B65" s="6" t="s">
        <v>247</v>
      </c>
      <c r="C65" s="10" t="s">
        <v>263</v>
      </c>
      <c r="D65" s="10" t="s">
        <v>249</v>
      </c>
      <c r="E65" s="10" t="s">
        <v>250</v>
      </c>
      <c r="F65" s="10" t="s">
        <v>257</v>
      </c>
    </row>
    <row r="66" spans="1:6" ht="49.95" customHeight="1" x14ac:dyDescent="0.4">
      <c r="A66" s="7" t="s">
        <v>264</v>
      </c>
      <c r="B66" s="6" t="s">
        <v>247</v>
      </c>
      <c r="C66" s="10" t="s">
        <v>265</v>
      </c>
      <c r="D66" s="10" t="s">
        <v>249</v>
      </c>
      <c r="E66" s="10" t="s">
        <v>250</v>
      </c>
      <c r="F66" s="10" t="s">
        <v>257</v>
      </c>
    </row>
    <row r="67" spans="1:6" ht="49.95" customHeight="1" x14ac:dyDescent="0.4">
      <c r="A67" s="7" t="s">
        <v>266</v>
      </c>
      <c r="B67" s="6" t="s">
        <v>247</v>
      </c>
      <c r="C67" s="10" t="s">
        <v>267</v>
      </c>
      <c r="D67" s="10" t="s">
        <v>249</v>
      </c>
      <c r="E67" s="10" t="s">
        <v>250</v>
      </c>
      <c r="F67" s="10" t="s">
        <v>257</v>
      </c>
    </row>
    <row r="68" spans="1:6" ht="49.95" customHeight="1" x14ac:dyDescent="0.4">
      <c r="A68" s="7" t="s">
        <v>268</v>
      </c>
      <c r="B68" s="6" t="s">
        <v>247</v>
      </c>
      <c r="C68" s="10" t="s">
        <v>269</v>
      </c>
      <c r="D68" s="10" t="s">
        <v>249</v>
      </c>
      <c r="E68" s="10" t="s">
        <v>250</v>
      </c>
      <c r="F68" s="10" t="s">
        <v>257</v>
      </c>
    </row>
    <row r="69" spans="1:6" ht="49.95" customHeight="1" x14ac:dyDescent="0.4">
      <c r="A69" s="7" t="s">
        <v>270</v>
      </c>
      <c r="B69" s="6" t="s">
        <v>247</v>
      </c>
      <c r="C69" s="10" t="s">
        <v>271</v>
      </c>
      <c r="D69" s="10" t="s">
        <v>249</v>
      </c>
      <c r="E69" s="10" t="s">
        <v>250</v>
      </c>
      <c r="F69" s="10" t="s">
        <v>257</v>
      </c>
    </row>
    <row r="70" spans="1:6" ht="49.95" customHeight="1" x14ac:dyDescent="0.4">
      <c r="A70" s="7" t="s">
        <v>272</v>
      </c>
      <c r="B70" s="6" t="s">
        <v>273</v>
      </c>
      <c r="C70" s="10" t="s">
        <v>274</v>
      </c>
      <c r="D70" s="10" t="s">
        <v>275</v>
      </c>
      <c r="E70" s="10" t="s">
        <v>276</v>
      </c>
      <c r="F70" s="10" t="s">
        <v>277</v>
      </c>
    </row>
    <row r="71" spans="1:6" ht="49.95" customHeight="1" x14ac:dyDescent="0.4">
      <c r="A71" s="7" t="s">
        <v>278</v>
      </c>
      <c r="B71" s="6" t="s">
        <v>273</v>
      </c>
      <c r="C71" s="10" t="s">
        <v>279</v>
      </c>
      <c r="D71" s="10" t="s">
        <v>275</v>
      </c>
      <c r="E71" s="10" t="s">
        <v>276</v>
      </c>
      <c r="F71" s="10" t="s">
        <v>277</v>
      </c>
    </row>
    <row r="72" spans="1:6" ht="49.95" customHeight="1" x14ac:dyDescent="0.4">
      <c r="A72" s="7" t="s">
        <v>280</v>
      </c>
      <c r="B72" s="6" t="s">
        <v>273</v>
      </c>
      <c r="C72" s="10" t="s">
        <v>281</v>
      </c>
      <c r="D72" s="10" t="s">
        <v>275</v>
      </c>
      <c r="E72" s="10" t="s">
        <v>276</v>
      </c>
      <c r="F72" s="10" t="s">
        <v>277</v>
      </c>
    </row>
    <row r="73" spans="1:6" ht="49.95" customHeight="1" x14ac:dyDescent="0.4">
      <c r="A73" s="7" t="s">
        <v>282</v>
      </c>
      <c r="B73" s="6" t="s">
        <v>273</v>
      </c>
      <c r="C73" s="10" t="s">
        <v>283</v>
      </c>
      <c r="D73" s="10" t="s">
        <v>275</v>
      </c>
      <c r="E73" s="10" t="s">
        <v>276</v>
      </c>
      <c r="F73" s="10" t="s">
        <v>277</v>
      </c>
    </row>
    <row r="74" spans="1:6" ht="49.95" customHeight="1" x14ac:dyDescent="0.4">
      <c r="A74" s="7" t="s">
        <v>284</v>
      </c>
      <c r="B74" s="6" t="s">
        <v>273</v>
      </c>
      <c r="C74" s="10" t="s">
        <v>285</v>
      </c>
      <c r="D74" s="10" t="s">
        <v>275</v>
      </c>
      <c r="E74" s="10" t="s">
        <v>286</v>
      </c>
      <c r="F74" s="10" t="s">
        <v>287</v>
      </c>
    </row>
    <row r="75" spans="1:6" ht="49.95" customHeight="1" x14ac:dyDescent="0.4">
      <c r="A75" s="7" t="s">
        <v>288</v>
      </c>
      <c r="B75" s="6" t="s">
        <v>273</v>
      </c>
      <c r="C75" s="10" t="s">
        <v>289</v>
      </c>
      <c r="D75" s="10" t="s">
        <v>275</v>
      </c>
      <c r="E75" s="10" t="s">
        <v>290</v>
      </c>
      <c r="F75" s="10" t="s">
        <v>291</v>
      </c>
    </row>
    <row r="76" spans="1:6" ht="49.95" customHeight="1" x14ac:dyDescent="0.4">
      <c r="A76" s="7" t="s">
        <v>292</v>
      </c>
      <c r="B76" s="6" t="s">
        <v>273</v>
      </c>
      <c r="C76" s="10" t="s">
        <v>293</v>
      </c>
      <c r="D76" s="10" t="s">
        <v>275</v>
      </c>
      <c r="E76" s="10" t="s">
        <v>276</v>
      </c>
      <c r="F76" s="10" t="s">
        <v>277</v>
      </c>
    </row>
    <row r="77" spans="1:6" ht="49.95" customHeight="1" x14ac:dyDescent="0.4">
      <c r="A77" s="7" t="s">
        <v>294</v>
      </c>
      <c r="B77" s="6" t="s">
        <v>273</v>
      </c>
      <c r="C77" s="10" t="s">
        <v>295</v>
      </c>
      <c r="D77" s="10" t="s">
        <v>275</v>
      </c>
      <c r="E77" s="10" t="s">
        <v>276</v>
      </c>
      <c r="F77" s="10" t="s">
        <v>277</v>
      </c>
    </row>
    <row r="78" spans="1:6" ht="49.95" customHeight="1" x14ac:dyDescent="0.4">
      <c r="A78" s="7" t="s">
        <v>296</v>
      </c>
      <c r="B78" s="6" t="s">
        <v>273</v>
      </c>
      <c r="C78" s="10" t="s">
        <v>297</v>
      </c>
      <c r="D78" s="10" t="s">
        <v>275</v>
      </c>
      <c r="E78" s="10" t="s">
        <v>276</v>
      </c>
      <c r="F78" s="10" t="s">
        <v>277</v>
      </c>
    </row>
    <row r="79" spans="1:6" ht="49.95" customHeight="1" x14ac:dyDescent="0.4">
      <c r="A79" s="7" t="s">
        <v>298</v>
      </c>
      <c r="B79" s="6" t="s">
        <v>273</v>
      </c>
      <c r="C79" s="10" t="s">
        <v>299</v>
      </c>
      <c r="D79" s="10" t="s">
        <v>275</v>
      </c>
      <c r="E79" s="10" t="s">
        <v>276</v>
      </c>
      <c r="F79" s="10" t="s">
        <v>277</v>
      </c>
    </row>
    <row r="80" spans="1:6" ht="49.95" customHeight="1" x14ac:dyDescent="0.4">
      <c r="A80" s="7" t="s">
        <v>300</v>
      </c>
      <c r="B80" s="6" t="s">
        <v>301</v>
      </c>
      <c r="C80" s="10" t="s">
        <v>302</v>
      </c>
      <c r="D80" s="10" t="s">
        <v>303</v>
      </c>
      <c r="E80" s="10" t="s">
        <v>304</v>
      </c>
      <c r="F80" s="10" t="s">
        <v>305</v>
      </c>
    </row>
    <row r="81" spans="1:6" ht="49.95" customHeight="1" x14ac:dyDescent="0.4">
      <c r="A81" s="7" t="s">
        <v>306</v>
      </c>
      <c r="B81" s="6" t="s">
        <v>301</v>
      </c>
      <c r="C81" s="10" t="s">
        <v>307</v>
      </c>
      <c r="D81" s="10" t="s">
        <v>303</v>
      </c>
      <c r="E81" s="10" t="s">
        <v>308</v>
      </c>
      <c r="F81" s="10" t="s">
        <v>309</v>
      </c>
    </row>
    <row r="82" spans="1:6" ht="49.95" customHeight="1" x14ac:dyDescent="0.4">
      <c r="A82" s="7" t="s">
        <v>310</v>
      </c>
      <c r="B82" s="6" t="s">
        <v>301</v>
      </c>
      <c r="C82" s="10" t="s">
        <v>311</v>
      </c>
      <c r="D82" s="10" t="s">
        <v>303</v>
      </c>
      <c r="E82" s="10" t="s">
        <v>308</v>
      </c>
      <c r="F82" s="10" t="s">
        <v>309</v>
      </c>
    </row>
    <row r="83" spans="1:6" ht="49.95" customHeight="1" x14ac:dyDescent="0.4">
      <c r="A83" s="7" t="s">
        <v>312</v>
      </c>
      <c r="B83" s="6" t="s">
        <v>301</v>
      </c>
      <c r="C83" s="10" t="s">
        <v>313</v>
      </c>
      <c r="D83" s="10" t="s">
        <v>303</v>
      </c>
      <c r="E83" s="10" t="s">
        <v>314</v>
      </c>
      <c r="F83" s="10" t="s">
        <v>315</v>
      </c>
    </row>
    <row r="84" spans="1:6" ht="49.95" customHeight="1" x14ac:dyDescent="0.4">
      <c r="A84" s="7" t="s">
        <v>316</v>
      </c>
      <c r="B84" s="6" t="s">
        <v>301</v>
      </c>
      <c r="C84" s="10" t="s">
        <v>317</v>
      </c>
      <c r="D84" s="10" t="s">
        <v>303</v>
      </c>
      <c r="E84" s="10" t="s">
        <v>308</v>
      </c>
      <c r="F84" s="10" t="s">
        <v>309</v>
      </c>
    </row>
    <row r="85" spans="1:6" ht="49.95" customHeight="1" x14ac:dyDescent="0.4">
      <c r="A85" s="7" t="s">
        <v>318</v>
      </c>
      <c r="B85" s="6" t="s">
        <v>319</v>
      </c>
      <c r="C85" s="10" t="s">
        <v>320</v>
      </c>
      <c r="D85" s="10" t="s">
        <v>321</v>
      </c>
      <c r="E85" s="10" t="s">
        <v>322</v>
      </c>
      <c r="F85" s="10" t="s">
        <v>323</v>
      </c>
    </row>
    <row r="86" spans="1:6" ht="49.95" customHeight="1" x14ac:dyDescent="0.4">
      <c r="A86" s="7" t="s">
        <v>324</v>
      </c>
      <c r="B86" s="6" t="s">
        <v>319</v>
      </c>
      <c r="C86" s="10" t="s">
        <v>325</v>
      </c>
      <c r="D86" s="10" t="s">
        <v>321</v>
      </c>
      <c r="E86" s="10" t="s">
        <v>322</v>
      </c>
      <c r="F86" s="10" t="s">
        <v>326</v>
      </c>
    </row>
    <row r="87" spans="1:6" ht="49.95" customHeight="1" x14ac:dyDescent="0.4">
      <c r="A87" s="7" t="s">
        <v>327</v>
      </c>
      <c r="B87" s="6" t="s">
        <v>319</v>
      </c>
      <c r="C87" s="10" t="s">
        <v>328</v>
      </c>
      <c r="D87" s="10" t="s">
        <v>321</v>
      </c>
      <c r="E87" s="10" t="s">
        <v>329</v>
      </c>
      <c r="F87" s="10" t="s">
        <v>330</v>
      </c>
    </row>
    <row r="88" spans="1:6" ht="49.95" customHeight="1" x14ac:dyDescent="0.4">
      <c r="A88" s="7" t="s">
        <v>331</v>
      </c>
      <c r="B88" s="6" t="s">
        <v>319</v>
      </c>
      <c r="C88" s="10" t="s">
        <v>332</v>
      </c>
      <c r="D88" s="10" t="s">
        <v>321</v>
      </c>
      <c r="E88" s="10" t="s">
        <v>322</v>
      </c>
      <c r="F88" s="10" t="s">
        <v>326</v>
      </c>
    </row>
    <row r="89" spans="1:6" ht="49.95" customHeight="1" x14ac:dyDescent="0.4">
      <c r="A89" s="7" t="s">
        <v>333</v>
      </c>
      <c r="B89" s="6" t="s">
        <v>319</v>
      </c>
      <c r="C89" s="10" t="s">
        <v>334</v>
      </c>
      <c r="D89" s="10" t="s">
        <v>321</v>
      </c>
      <c r="E89" s="10" t="s">
        <v>322</v>
      </c>
      <c r="F89" s="10" t="s">
        <v>326</v>
      </c>
    </row>
    <row r="90" spans="1:6" ht="49.95" customHeight="1" x14ac:dyDescent="0.4">
      <c r="A90" s="7" t="s">
        <v>335</v>
      </c>
      <c r="B90" s="6" t="s">
        <v>336</v>
      </c>
      <c r="C90" s="10" t="s">
        <v>337</v>
      </c>
      <c r="D90" s="10" t="s">
        <v>338</v>
      </c>
      <c r="E90" s="10" t="s">
        <v>339</v>
      </c>
      <c r="F90" s="10" t="s">
        <v>340</v>
      </c>
    </row>
    <row r="91" spans="1:6" ht="49.95" customHeight="1" x14ac:dyDescent="0.4">
      <c r="A91" s="7" t="s">
        <v>341</v>
      </c>
      <c r="B91" s="6" t="s">
        <v>336</v>
      </c>
      <c r="C91" s="10" t="s">
        <v>342</v>
      </c>
      <c r="D91" s="10" t="s">
        <v>338</v>
      </c>
      <c r="E91" s="10" t="s">
        <v>339</v>
      </c>
      <c r="F91" s="10" t="s">
        <v>343</v>
      </c>
    </row>
    <row r="92" spans="1:6" ht="49.95" customHeight="1" x14ac:dyDescent="0.4">
      <c r="A92" s="7" t="s">
        <v>344</v>
      </c>
      <c r="B92" s="6" t="s">
        <v>336</v>
      </c>
      <c r="C92" s="10" t="s">
        <v>345</v>
      </c>
      <c r="D92" s="10" t="s">
        <v>338</v>
      </c>
      <c r="E92" s="10" t="s">
        <v>339</v>
      </c>
      <c r="F92" s="10" t="s">
        <v>346</v>
      </c>
    </row>
    <row r="93" spans="1:6" ht="49.95" customHeight="1" x14ac:dyDescent="0.4">
      <c r="A93" s="7" t="s">
        <v>347</v>
      </c>
      <c r="B93" s="6" t="s">
        <v>336</v>
      </c>
      <c r="C93" s="10" t="s">
        <v>348</v>
      </c>
      <c r="D93" s="10" t="s">
        <v>338</v>
      </c>
      <c r="E93" s="10" t="s">
        <v>339</v>
      </c>
      <c r="F93" s="10" t="s">
        <v>346</v>
      </c>
    </row>
    <row r="94" spans="1:6" ht="49.95" customHeight="1" x14ac:dyDescent="0.4">
      <c r="A94" s="7" t="s">
        <v>349</v>
      </c>
      <c r="B94" s="6" t="s">
        <v>336</v>
      </c>
      <c r="C94" s="10" t="s">
        <v>350</v>
      </c>
      <c r="D94" s="10" t="s">
        <v>338</v>
      </c>
      <c r="E94" s="10" t="s">
        <v>339</v>
      </c>
      <c r="F94" s="10" t="s">
        <v>346</v>
      </c>
    </row>
    <row r="95" spans="1:6" ht="49.95" customHeight="1" x14ac:dyDescent="0.4">
      <c r="A95" s="7" t="s">
        <v>351</v>
      </c>
      <c r="B95" s="6" t="s">
        <v>352</v>
      </c>
      <c r="C95" s="10" t="s">
        <v>353</v>
      </c>
      <c r="D95" s="10" t="s">
        <v>354</v>
      </c>
      <c r="E95" s="10" t="s">
        <v>355</v>
      </c>
      <c r="F95" s="10" t="s">
        <v>356</v>
      </c>
    </row>
    <row r="96" spans="1:6" ht="49.95" customHeight="1" x14ac:dyDescent="0.4">
      <c r="A96" s="7" t="s">
        <v>357</v>
      </c>
      <c r="B96" s="6" t="s">
        <v>352</v>
      </c>
      <c r="C96" s="10" t="s">
        <v>358</v>
      </c>
      <c r="D96" s="10" t="s">
        <v>354</v>
      </c>
      <c r="E96" s="10" t="s">
        <v>355</v>
      </c>
      <c r="F96" s="10" t="s">
        <v>359</v>
      </c>
    </row>
    <row r="97" spans="1:6" ht="49.95" customHeight="1" x14ac:dyDescent="0.4">
      <c r="A97" s="7" t="s">
        <v>360</v>
      </c>
      <c r="B97" s="6" t="s">
        <v>352</v>
      </c>
      <c r="C97" s="10" t="s">
        <v>361</v>
      </c>
      <c r="D97" s="10" t="s">
        <v>354</v>
      </c>
      <c r="E97" s="10" t="s">
        <v>355</v>
      </c>
      <c r="F97" s="10" t="s">
        <v>362</v>
      </c>
    </row>
    <row r="98" spans="1:6" ht="49.95" customHeight="1" x14ac:dyDescent="0.4">
      <c r="A98" s="7" t="s">
        <v>363</v>
      </c>
      <c r="B98" s="6" t="s">
        <v>352</v>
      </c>
      <c r="C98" s="10" t="s">
        <v>364</v>
      </c>
      <c r="D98" s="10" t="s">
        <v>354</v>
      </c>
      <c r="E98" s="10" t="s">
        <v>355</v>
      </c>
      <c r="F98" s="10" t="s">
        <v>362</v>
      </c>
    </row>
    <row r="99" spans="1:6" ht="49.95" customHeight="1" x14ac:dyDescent="0.4">
      <c r="A99" s="7" t="s">
        <v>365</v>
      </c>
      <c r="B99" s="6" t="s">
        <v>352</v>
      </c>
      <c r="C99" s="10" t="s">
        <v>366</v>
      </c>
      <c r="D99" s="10" t="s">
        <v>354</v>
      </c>
      <c r="E99" s="10" t="s">
        <v>355</v>
      </c>
      <c r="F99" s="10" t="s">
        <v>362</v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99"/>
  <sheetViews>
    <sheetView topLeftCell="A91" workbookViewId="0"/>
  </sheetViews>
  <sheetFormatPr defaultRowHeight="14.4" x14ac:dyDescent="0.3"/>
  <cols>
    <col min="1" max="1" width="15" customWidth="1"/>
    <col min="2" max="2" width="50" customWidth="1"/>
    <col min="3" max="3" width="11" customWidth="1"/>
    <col min="4" max="4" width="17" customWidth="1"/>
    <col min="5" max="5" width="14" customWidth="1"/>
    <col min="6" max="6" width="50" customWidth="1"/>
    <col min="7" max="7" width="14" customWidth="1"/>
    <col min="8" max="8" width="50" customWidth="1"/>
  </cols>
  <sheetData>
    <row r="2" spans="1:8" ht="30" customHeight="1" x14ac:dyDescent="0.3">
      <c r="A2" s="17" t="s">
        <v>367</v>
      </c>
      <c r="B2" s="15"/>
      <c r="C2" s="15"/>
      <c r="D2" s="15"/>
      <c r="E2" s="15"/>
      <c r="F2" s="15"/>
      <c r="G2" s="15"/>
      <c r="H2" s="15"/>
    </row>
    <row r="4" spans="1:8" ht="24" customHeight="1" x14ac:dyDescent="0.4">
      <c r="A4" s="5" t="s">
        <v>64</v>
      </c>
      <c r="B4" s="5" t="s">
        <v>368</v>
      </c>
      <c r="C4" s="5" t="s">
        <v>22</v>
      </c>
      <c r="D4" s="5" t="s">
        <v>369</v>
      </c>
      <c r="E4" s="5" t="s">
        <v>370</v>
      </c>
      <c r="F4" s="5" t="s">
        <v>371</v>
      </c>
      <c r="G4" s="5" t="s">
        <v>372</v>
      </c>
      <c r="H4" s="5" t="s">
        <v>373</v>
      </c>
    </row>
    <row r="5" spans="1:8" ht="40.049999999999997" customHeight="1" x14ac:dyDescent="0.4">
      <c r="A5" s="7" t="s">
        <v>69</v>
      </c>
      <c r="B5" s="10" t="s">
        <v>374</v>
      </c>
      <c r="C5" s="8" t="s">
        <v>27</v>
      </c>
      <c r="D5" s="7" t="s">
        <v>375</v>
      </c>
      <c r="E5" s="7" t="s">
        <v>376</v>
      </c>
      <c r="F5" s="10" t="s">
        <v>377</v>
      </c>
      <c r="G5" s="7" t="s">
        <v>378</v>
      </c>
      <c r="H5" s="11" t="str">
        <f>HYPERLINK("evidence/logs/ST-001_logs.txt", "evidence/logs/ST-001_logs.txt")</f>
        <v>evidence/logs/ST-001_logs.txt</v>
      </c>
    </row>
    <row r="6" spans="1:8" ht="40.049999999999997" customHeight="1" x14ac:dyDescent="0.4">
      <c r="A6" s="7" t="s">
        <v>75</v>
      </c>
      <c r="B6" s="10" t="s">
        <v>374</v>
      </c>
      <c r="C6" s="8" t="s">
        <v>27</v>
      </c>
      <c r="D6" s="7" t="s">
        <v>375</v>
      </c>
      <c r="E6" s="7" t="s">
        <v>376</v>
      </c>
      <c r="F6" s="10" t="s">
        <v>377</v>
      </c>
      <c r="G6" s="7" t="s">
        <v>379</v>
      </c>
      <c r="H6" s="11" t="str">
        <f>HYPERLINK("evidence/logs/ST-002_logs.txt", "evidence/logs/ST-002_logs.txt")</f>
        <v>evidence/logs/ST-002_logs.txt</v>
      </c>
    </row>
    <row r="7" spans="1:8" ht="40.049999999999997" customHeight="1" x14ac:dyDescent="0.4">
      <c r="A7" s="7" t="s">
        <v>80</v>
      </c>
      <c r="B7" s="10" t="s">
        <v>374</v>
      </c>
      <c r="C7" s="8" t="s">
        <v>27</v>
      </c>
      <c r="D7" s="7" t="s">
        <v>375</v>
      </c>
      <c r="E7" s="7" t="s">
        <v>376</v>
      </c>
      <c r="F7" s="10" t="s">
        <v>377</v>
      </c>
      <c r="G7" s="7" t="s">
        <v>380</v>
      </c>
      <c r="H7" s="11" t="str">
        <f>HYPERLINK("evidence/logs/ST-003_logs.txt", "evidence/logs/ST-003_logs.txt")</f>
        <v>evidence/logs/ST-003_logs.txt</v>
      </c>
    </row>
    <row r="8" spans="1:8" ht="40.049999999999997" customHeight="1" x14ac:dyDescent="0.4">
      <c r="A8" s="7" t="s">
        <v>85</v>
      </c>
      <c r="B8" s="10" t="s">
        <v>381</v>
      </c>
      <c r="C8" s="8" t="s">
        <v>27</v>
      </c>
      <c r="D8" s="7" t="s">
        <v>375</v>
      </c>
      <c r="E8" s="7" t="s">
        <v>376</v>
      </c>
      <c r="F8" s="10" t="s">
        <v>382</v>
      </c>
      <c r="G8" s="7" t="s">
        <v>383</v>
      </c>
      <c r="H8" s="11" t="str">
        <f>HYPERLINK("evidence/logs/ST-004_logs.txt", "evidence/logs/ST-004_logs.txt")</f>
        <v>evidence/logs/ST-004_logs.txt</v>
      </c>
    </row>
    <row r="9" spans="1:8" ht="40.049999999999997" customHeight="1" x14ac:dyDescent="0.4">
      <c r="A9" s="7" t="s">
        <v>89</v>
      </c>
      <c r="B9" s="10" t="s">
        <v>374</v>
      </c>
      <c r="C9" s="8" t="s">
        <v>27</v>
      </c>
      <c r="D9" s="7" t="s">
        <v>375</v>
      </c>
      <c r="E9" s="7" t="s">
        <v>376</v>
      </c>
      <c r="F9" s="10" t="s">
        <v>377</v>
      </c>
      <c r="G9" s="7" t="s">
        <v>384</v>
      </c>
      <c r="H9" s="11" t="str">
        <f>HYPERLINK("evidence/logs/ST-005_logs.txt", "evidence/logs/ST-005_logs.txt")</f>
        <v>evidence/logs/ST-005_logs.txt</v>
      </c>
    </row>
    <row r="10" spans="1:8" ht="40.049999999999997" customHeight="1" x14ac:dyDescent="0.4">
      <c r="A10" s="7" t="s">
        <v>94</v>
      </c>
      <c r="B10" s="10" t="s">
        <v>374</v>
      </c>
      <c r="C10" s="8" t="s">
        <v>27</v>
      </c>
      <c r="D10" s="7" t="s">
        <v>375</v>
      </c>
      <c r="E10" s="7" t="s">
        <v>376</v>
      </c>
      <c r="F10" s="10" t="s">
        <v>377</v>
      </c>
      <c r="G10" s="7" t="s">
        <v>385</v>
      </c>
      <c r="H10" s="11" t="str">
        <f>HYPERLINK("evidence/logs/ST-006_logs.txt", "evidence/logs/ST-006_logs.txt")</f>
        <v>evidence/logs/ST-006_logs.txt</v>
      </c>
    </row>
    <row r="11" spans="1:8" ht="40.049999999999997" customHeight="1" x14ac:dyDescent="0.4">
      <c r="A11" s="7" t="s">
        <v>97</v>
      </c>
      <c r="B11" s="10" t="s">
        <v>374</v>
      </c>
      <c r="C11" s="8" t="s">
        <v>27</v>
      </c>
      <c r="D11" s="7" t="s">
        <v>375</v>
      </c>
      <c r="E11" s="7" t="s">
        <v>376</v>
      </c>
      <c r="F11" s="10" t="s">
        <v>377</v>
      </c>
      <c r="G11" s="7" t="s">
        <v>386</v>
      </c>
      <c r="H11" s="11" t="str">
        <f>HYPERLINK("evidence/logs/ST-007_logs.txt", "evidence/logs/ST-007_logs.txt")</f>
        <v>evidence/logs/ST-007_logs.txt</v>
      </c>
    </row>
    <row r="12" spans="1:8" ht="40.049999999999997" customHeight="1" x14ac:dyDescent="0.4">
      <c r="A12" s="7" t="s">
        <v>99</v>
      </c>
      <c r="B12" s="10" t="s">
        <v>374</v>
      </c>
      <c r="C12" s="8" t="s">
        <v>27</v>
      </c>
      <c r="D12" s="7" t="s">
        <v>375</v>
      </c>
      <c r="E12" s="7" t="s">
        <v>376</v>
      </c>
      <c r="F12" s="10" t="s">
        <v>377</v>
      </c>
      <c r="G12" s="7" t="s">
        <v>387</v>
      </c>
      <c r="H12" s="11" t="str">
        <f>HYPERLINK("evidence/logs/ST-008_logs.txt", "evidence/logs/ST-008_logs.txt")</f>
        <v>evidence/logs/ST-008_logs.txt</v>
      </c>
    </row>
    <row r="13" spans="1:8" ht="40.049999999999997" customHeight="1" x14ac:dyDescent="0.4">
      <c r="A13" s="7" t="s">
        <v>101</v>
      </c>
      <c r="B13" s="10" t="s">
        <v>374</v>
      </c>
      <c r="C13" s="8" t="s">
        <v>27</v>
      </c>
      <c r="D13" s="7" t="s">
        <v>375</v>
      </c>
      <c r="E13" s="7" t="s">
        <v>376</v>
      </c>
      <c r="F13" s="10" t="s">
        <v>377</v>
      </c>
      <c r="G13" s="7" t="s">
        <v>388</v>
      </c>
      <c r="H13" s="11" t="str">
        <f>HYPERLINK("evidence/logs/ST-009_logs.txt", "evidence/logs/ST-009_logs.txt")</f>
        <v>evidence/logs/ST-009_logs.txt</v>
      </c>
    </row>
    <row r="14" spans="1:8" ht="40.049999999999997" customHeight="1" x14ac:dyDescent="0.4">
      <c r="A14" s="7" t="s">
        <v>103</v>
      </c>
      <c r="B14" s="10" t="s">
        <v>374</v>
      </c>
      <c r="C14" s="8" t="s">
        <v>27</v>
      </c>
      <c r="D14" s="7" t="s">
        <v>375</v>
      </c>
      <c r="E14" s="7" t="s">
        <v>376</v>
      </c>
      <c r="F14" s="10" t="s">
        <v>377</v>
      </c>
      <c r="G14" s="7" t="s">
        <v>389</v>
      </c>
      <c r="H14" s="11" t="str">
        <f>HYPERLINK("evidence/logs/ST-010_logs.txt", "evidence/logs/ST-010_logs.txt")</f>
        <v>evidence/logs/ST-010_logs.txt</v>
      </c>
    </row>
    <row r="15" spans="1:8" ht="40.049999999999997" customHeight="1" x14ac:dyDescent="0.4">
      <c r="A15" s="7" t="s">
        <v>105</v>
      </c>
      <c r="B15" s="10" t="s">
        <v>374</v>
      </c>
      <c r="C15" s="8" t="s">
        <v>27</v>
      </c>
      <c r="D15" s="7" t="s">
        <v>375</v>
      </c>
      <c r="E15" s="7" t="s">
        <v>376</v>
      </c>
      <c r="F15" s="10" t="s">
        <v>377</v>
      </c>
      <c r="G15" s="7" t="s">
        <v>390</v>
      </c>
      <c r="H15" s="11" t="str">
        <f>HYPERLINK("evidence/logs/ST-011_logs.txt", "evidence/logs/ST-011_logs.txt")</f>
        <v>evidence/logs/ST-011_logs.txt</v>
      </c>
    </row>
    <row r="16" spans="1:8" ht="40.049999999999997" customHeight="1" x14ac:dyDescent="0.4">
      <c r="A16" s="7" t="s">
        <v>111</v>
      </c>
      <c r="B16" s="10" t="s">
        <v>374</v>
      </c>
      <c r="C16" s="8" t="s">
        <v>27</v>
      </c>
      <c r="D16" s="7" t="s">
        <v>375</v>
      </c>
      <c r="E16" s="7" t="s">
        <v>376</v>
      </c>
      <c r="F16" s="10" t="s">
        <v>377</v>
      </c>
      <c r="G16" s="7" t="s">
        <v>391</v>
      </c>
      <c r="H16" s="11" t="str">
        <f>HYPERLINK("evidence/logs/ST-012_logs.txt", "evidence/logs/ST-012_logs.txt")</f>
        <v>evidence/logs/ST-012_logs.txt</v>
      </c>
    </row>
    <row r="17" spans="1:8" ht="40.049999999999997" customHeight="1" x14ac:dyDescent="0.4">
      <c r="A17" s="7" t="s">
        <v>114</v>
      </c>
      <c r="B17" s="10" t="s">
        <v>374</v>
      </c>
      <c r="C17" s="8" t="s">
        <v>27</v>
      </c>
      <c r="D17" s="7" t="s">
        <v>375</v>
      </c>
      <c r="E17" s="7" t="s">
        <v>376</v>
      </c>
      <c r="F17" s="10" t="s">
        <v>377</v>
      </c>
      <c r="G17" s="7" t="s">
        <v>392</v>
      </c>
      <c r="H17" s="11" t="str">
        <f>HYPERLINK("evidence/logs/ST-013_logs.txt", "evidence/logs/ST-013_logs.txt")</f>
        <v>evidence/logs/ST-013_logs.txt</v>
      </c>
    </row>
    <row r="18" spans="1:8" ht="40.049999999999997" customHeight="1" x14ac:dyDescent="0.4">
      <c r="A18" s="7" t="s">
        <v>119</v>
      </c>
      <c r="B18" s="10" t="s">
        <v>374</v>
      </c>
      <c r="C18" s="8" t="s">
        <v>27</v>
      </c>
      <c r="D18" s="7" t="s">
        <v>375</v>
      </c>
      <c r="E18" s="7" t="s">
        <v>376</v>
      </c>
      <c r="F18" s="10" t="s">
        <v>377</v>
      </c>
      <c r="G18" s="7" t="s">
        <v>393</v>
      </c>
      <c r="H18" s="11" t="str">
        <f>HYPERLINK("evidence/logs/ST-014_logs.txt", "evidence/logs/ST-014_logs.txt")</f>
        <v>evidence/logs/ST-014_logs.txt</v>
      </c>
    </row>
    <row r="19" spans="1:8" ht="40.049999999999997" customHeight="1" x14ac:dyDescent="0.4">
      <c r="A19" s="7" t="s">
        <v>121</v>
      </c>
      <c r="B19" s="10" t="s">
        <v>374</v>
      </c>
      <c r="C19" s="8" t="s">
        <v>27</v>
      </c>
      <c r="D19" s="7" t="s">
        <v>375</v>
      </c>
      <c r="E19" s="7" t="s">
        <v>376</v>
      </c>
      <c r="F19" s="10" t="s">
        <v>377</v>
      </c>
      <c r="G19" s="7" t="s">
        <v>394</v>
      </c>
      <c r="H19" s="11" t="str">
        <f>HYPERLINK("evidence/logs/ST-015_logs.txt", "evidence/logs/ST-015_logs.txt")</f>
        <v>evidence/logs/ST-015_logs.txt</v>
      </c>
    </row>
    <row r="20" spans="1:8" ht="40.049999999999997" customHeight="1" x14ac:dyDescent="0.4">
      <c r="A20" s="7" t="s">
        <v>126</v>
      </c>
      <c r="B20" s="10" t="s">
        <v>374</v>
      </c>
      <c r="C20" s="8" t="s">
        <v>27</v>
      </c>
      <c r="D20" s="7" t="s">
        <v>375</v>
      </c>
      <c r="E20" s="7" t="s">
        <v>376</v>
      </c>
      <c r="F20" s="10" t="s">
        <v>377</v>
      </c>
      <c r="G20" s="7" t="s">
        <v>395</v>
      </c>
      <c r="H20" s="11" t="str">
        <f>HYPERLINK("evidence/logs/ST-016_logs.txt", "evidence/logs/ST-016_logs.txt")</f>
        <v>evidence/logs/ST-016_logs.txt</v>
      </c>
    </row>
    <row r="21" spans="1:8" ht="40.049999999999997" customHeight="1" x14ac:dyDescent="0.4">
      <c r="A21" s="7" t="s">
        <v>128</v>
      </c>
      <c r="B21" s="10" t="s">
        <v>374</v>
      </c>
      <c r="C21" s="8" t="s">
        <v>27</v>
      </c>
      <c r="D21" s="7" t="s">
        <v>375</v>
      </c>
      <c r="E21" s="7" t="s">
        <v>376</v>
      </c>
      <c r="F21" s="10" t="s">
        <v>377</v>
      </c>
      <c r="G21" s="7" t="s">
        <v>396</v>
      </c>
      <c r="H21" s="11" t="str">
        <f>HYPERLINK("evidence/logs/ST-017_logs.txt", "evidence/logs/ST-017_logs.txt")</f>
        <v>evidence/logs/ST-017_logs.txt</v>
      </c>
    </row>
    <row r="22" spans="1:8" ht="40.049999999999997" customHeight="1" x14ac:dyDescent="0.4">
      <c r="A22" s="7" t="s">
        <v>130</v>
      </c>
      <c r="B22" s="10" t="s">
        <v>374</v>
      </c>
      <c r="C22" s="8" t="s">
        <v>27</v>
      </c>
      <c r="D22" s="7" t="s">
        <v>375</v>
      </c>
      <c r="E22" s="7" t="s">
        <v>376</v>
      </c>
      <c r="F22" s="10" t="s">
        <v>377</v>
      </c>
      <c r="G22" s="7" t="s">
        <v>397</v>
      </c>
      <c r="H22" s="11" t="str">
        <f>HYPERLINK("evidence/logs/ST-018_logs.txt", "evidence/logs/ST-018_logs.txt")</f>
        <v>evidence/logs/ST-018_logs.txt</v>
      </c>
    </row>
    <row r="23" spans="1:8" ht="40.049999999999997" customHeight="1" x14ac:dyDescent="0.4">
      <c r="A23" s="7" t="s">
        <v>132</v>
      </c>
      <c r="B23" s="10" t="s">
        <v>374</v>
      </c>
      <c r="C23" s="8" t="s">
        <v>27</v>
      </c>
      <c r="D23" s="7" t="s">
        <v>375</v>
      </c>
      <c r="E23" s="7" t="s">
        <v>376</v>
      </c>
      <c r="F23" s="10" t="s">
        <v>377</v>
      </c>
      <c r="G23" s="7" t="s">
        <v>398</v>
      </c>
      <c r="H23" s="11" t="str">
        <f>HYPERLINK("evidence/logs/ST-019_logs.txt", "evidence/logs/ST-019_logs.txt")</f>
        <v>evidence/logs/ST-019_logs.txt</v>
      </c>
    </row>
    <row r="24" spans="1:8" ht="40.049999999999997" customHeight="1" x14ac:dyDescent="0.4">
      <c r="A24" s="7" t="s">
        <v>134</v>
      </c>
      <c r="B24" s="10" t="s">
        <v>374</v>
      </c>
      <c r="C24" s="8" t="s">
        <v>27</v>
      </c>
      <c r="D24" s="7" t="s">
        <v>375</v>
      </c>
      <c r="E24" s="7" t="s">
        <v>376</v>
      </c>
      <c r="F24" s="10" t="s">
        <v>377</v>
      </c>
      <c r="G24" s="7" t="s">
        <v>399</v>
      </c>
      <c r="H24" s="11" t="str">
        <f>HYPERLINK("evidence/logs/ST-020_logs.txt", "evidence/logs/ST-020_logs.txt")</f>
        <v>evidence/logs/ST-020_logs.txt</v>
      </c>
    </row>
    <row r="25" spans="1:8" ht="40.049999999999997" customHeight="1" x14ac:dyDescent="0.4">
      <c r="A25" s="7" t="s">
        <v>136</v>
      </c>
      <c r="B25" s="10" t="s">
        <v>374</v>
      </c>
      <c r="C25" s="8" t="s">
        <v>27</v>
      </c>
      <c r="D25" s="7" t="s">
        <v>375</v>
      </c>
      <c r="E25" s="7" t="s">
        <v>376</v>
      </c>
      <c r="F25" s="10" t="s">
        <v>377</v>
      </c>
      <c r="G25" s="7" t="s">
        <v>400</v>
      </c>
      <c r="H25" s="11" t="str">
        <f>HYPERLINK("evidence/logs/ST-021_logs.txt", "evidence/logs/ST-021_logs.txt")</f>
        <v>evidence/logs/ST-021_logs.txt</v>
      </c>
    </row>
    <row r="26" spans="1:8" ht="40.049999999999997" customHeight="1" x14ac:dyDescent="0.4">
      <c r="A26" s="7" t="s">
        <v>142</v>
      </c>
      <c r="B26" s="10" t="s">
        <v>374</v>
      </c>
      <c r="C26" s="8" t="s">
        <v>27</v>
      </c>
      <c r="D26" s="7" t="s">
        <v>375</v>
      </c>
      <c r="E26" s="7" t="s">
        <v>376</v>
      </c>
      <c r="F26" s="10" t="s">
        <v>377</v>
      </c>
      <c r="G26" s="7" t="s">
        <v>401</v>
      </c>
      <c r="H26" s="11" t="str">
        <f>HYPERLINK("evidence/logs/ST-022_logs.txt", "evidence/logs/ST-022_logs.txt")</f>
        <v>evidence/logs/ST-022_logs.txt</v>
      </c>
    </row>
    <row r="27" spans="1:8" ht="40.049999999999997" customHeight="1" x14ac:dyDescent="0.4">
      <c r="A27" s="7" t="s">
        <v>147</v>
      </c>
      <c r="B27" s="10" t="s">
        <v>374</v>
      </c>
      <c r="C27" s="8" t="s">
        <v>27</v>
      </c>
      <c r="D27" s="7" t="s">
        <v>375</v>
      </c>
      <c r="E27" s="7" t="s">
        <v>376</v>
      </c>
      <c r="F27" s="10" t="s">
        <v>377</v>
      </c>
      <c r="G27" s="7" t="s">
        <v>402</v>
      </c>
      <c r="H27" s="11" t="str">
        <f>HYPERLINK("evidence/logs/ST-023_logs.txt", "evidence/logs/ST-023_logs.txt")</f>
        <v>evidence/logs/ST-023_logs.txt</v>
      </c>
    </row>
    <row r="28" spans="1:8" ht="40.049999999999997" customHeight="1" x14ac:dyDescent="0.4">
      <c r="A28" s="7" t="s">
        <v>151</v>
      </c>
      <c r="B28" s="10" t="s">
        <v>374</v>
      </c>
      <c r="C28" s="8" t="s">
        <v>27</v>
      </c>
      <c r="D28" s="7" t="s">
        <v>375</v>
      </c>
      <c r="E28" s="7" t="s">
        <v>376</v>
      </c>
      <c r="F28" s="10" t="s">
        <v>377</v>
      </c>
      <c r="G28" s="7" t="s">
        <v>403</v>
      </c>
      <c r="H28" s="11" t="str">
        <f>HYPERLINK("evidence/logs/ST-024_logs.txt", "evidence/logs/ST-024_logs.txt")</f>
        <v>evidence/logs/ST-024_logs.txt</v>
      </c>
    </row>
    <row r="29" spans="1:8" ht="40.049999999999997" customHeight="1" x14ac:dyDescent="0.4">
      <c r="A29" s="7" t="s">
        <v>155</v>
      </c>
      <c r="B29" s="10" t="s">
        <v>374</v>
      </c>
      <c r="C29" s="8" t="s">
        <v>27</v>
      </c>
      <c r="D29" s="7" t="s">
        <v>375</v>
      </c>
      <c r="E29" s="7" t="s">
        <v>376</v>
      </c>
      <c r="F29" s="10" t="s">
        <v>377</v>
      </c>
      <c r="G29" s="7" t="s">
        <v>404</v>
      </c>
      <c r="H29" s="11" t="str">
        <f>HYPERLINK("evidence/logs/ST-025_logs.txt", "evidence/logs/ST-025_logs.txt")</f>
        <v>evidence/logs/ST-025_logs.txt</v>
      </c>
    </row>
    <row r="30" spans="1:8" ht="40.049999999999997" customHeight="1" x14ac:dyDescent="0.4">
      <c r="A30" s="7" t="s">
        <v>157</v>
      </c>
      <c r="B30" s="10" t="s">
        <v>374</v>
      </c>
      <c r="C30" s="8" t="s">
        <v>27</v>
      </c>
      <c r="D30" s="7" t="s">
        <v>375</v>
      </c>
      <c r="E30" s="7" t="s">
        <v>376</v>
      </c>
      <c r="F30" s="10" t="s">
        <v>377</v>
      </c>
      <c r="G30" s="7" t="s">
        <v>405</v>
      </c>
      <c r="H30" s="11" t="str">
        <f>HYPERLINK("evidence/logs/ST-026_logs.txt", "evidence/logs/ST-026_logs.txt")</f>
        <v>evidence/logs/ST-026_logs.txt</v>
      </c>
    </row>
    <row r="31" spans="1:8" ht="40.049999999999997" customHeight="1" x14ac:dyDescent="0.4">
      <c r="A31" s="7" t="s">
        <v>159</v>
      </c>
      <c r="B31" s="10" t="s">
        <v>374</v>
      </c>
      <c r="C31" s="8" t="s">
        <v>27</v>
      </c>
      <c r="D31" s="7" t="s">
        <v>375</v>
      </c>
      <c r="E31" s="7" t="s">
        <v>376</v>
      </c>
      <c r="F31" s="10" t="s">
        <v>377</v>
      </c>
      <c r="G31" s="7" t="s">
        <v>406</v>
      </c>
      <c r="H31" s="11" t="str">
        <f>HYPERLINK("evidence/logs/ST-027_logs.txt", "evidence/logs/ST-027_logs.txt")</f>
        <v>evidence/logs/ST-027_logs.txt</v>
      </c>
    </row>
    <row r="32" spans="1:8" ht="40.049999999999997" customHeight="1" x14ac:dyDescent="0.4">
      <c r="A32" s="7" t="s">
        <v>161</v>
      </c>
      <c r="B32" s="10" t="s">
        <v>374</v>
      </c>
      <c r="C32" s="8" t="s">
        <v>27</v>
      </c>
      <c r="D32" s="7" t="s">
        <v>375</v>
      </c>
      <c r="E32" s="7" t="s">
        <v>376</v>
      </c>
      <c r="F32" s="10" t="s">
        <v>377</v>
      </c>
      <c r="G32" s="7" t="s">
        <v>407</v>
      </c>
      <c r="H32" s="11" t="str">
        <f>HYPERLINK("evidence/logs/ST-028_logs.txt", "evidence/logs/ST-028_logs.txt")</f>
        <v>evidence/logs/ST-028_logs.txt</v>
      </c>
    </row>
    <row r="33" spans="1:8" ht="40.049999999999997" customHeight="1" x14ac:dyDescent="0.4">
      <c r="A33" s="7" t="s">
        <v>163</v>
      </c>
      <c r="B33" s="10" t="s">
        <v>374</v>
      </c>
      <c r="C33" s="8" t="s">
        <v>27</v>
      </c>
      <c r="D33" s="7" t="s">
        <v>375</v>
      </c>
      <c r="E33" s="7" t="s">
        <v>376</v>
      </c>
      <c r="F33" s="10" t="s">
        <v>377</v>
      </c>
      <c r="G33" s="7" t="s">
        <v>408</v>
      </c>
      <c r="H33" s="11" t="str">
        <f>HYPERLINK("evidence/logs/ST-029_logs.txt", "evidence/logs/ST-029_logs.txt")</f>
        <v>evidence/logs/ST-029_logs.txt</v>
      </c>
    </row>
    <row r="34" spans="1:8" ht="40.049999999999997" customHeight="1" x14ac:dyDescent="0.4">
      <c r="A34" s="7" t="s">
        <v>165</v>
      </c>
      <c r="B34" s="10" t="s">
        <v>374</v>
      </c>
      <c r="C34" s="8" t="s">
        <v>27</v>
      </c>
      <c r="D34" s="7" t="s">
        <v>375</v>
      </c>
      <c r="E34" s="7" t="s">
        <v>376</v>
      </c>
      <c r="F34" s="10" t="s">
        <v>377</v>
      </c>
      <c r="G34" s="7" t="s">
        <v>409</v>
      </c>
      <c r="H34" s="11" t="str">
        <f>HYPERLINK("evidence/logs/ST-030_logs.txt", "evidence/logs/ST-030_logs.txt")</f>
        <v>evidence/logs/ST-030_logs.txt</v>
      </c>
    </row>
    <row r="35" spans="1:8" ht="40.049999999999997" customHeight="1" x14ac:dyDescent="0.4">
      <c r="A35" s="7" t="s">
        <v>167</v>
      </c>
      <c r="B35" s="10" t="s">
        <v>374</v>
      </c>
      <c r="C35" s="8" t="s">
        <v>27</v>
      </c>
      <c r="D35" s="7" t="s">
        <v>375</v>
      </c>
      <c r="E35" s="7" t="s">
        <v>376</v>
      </c>
      <c r="F35" s="10" t="s">
        <v>377</v>
      </c>
      <c r="G35" s="7" t="s">
        <v>410</v>
      </c>
      <c r="H35" s="11" t="str">
        <f>HYPERLINK("evidence/logs/ST-031_logs.txt", "evidence/logs/ST-031_logs.txt")</f>
        <v>evidence/logs/ST-031_logs.txt</v>
      </c>
    </row>
    <row r="36" spans="1:8" ht="40.049999999999997" customHeight="1" x14ac:dyDescent="0.4">
      <c r="A36" s="7" t="s">
        <v>173</v>
      </c>
      <c r="B36" s="10" t="s">
        <v>374</v>
      </c>
      <c r="C36" s="8" t="s">
        <v>27</v>
      </c>
      <c r="D36" s="7" t="s">
        <v>375</v>
      </c>
      <c r="E36" s="7" t="s">
        <v>376</v>
      </c>
      <c r="F36" s="10" t="s">
        <v>377</v>
      </c>
      <c r="G36" s="7" t="s">
        <v>411</v>
      </c>
      <c r="H36" s="11" t="str">
        <f>HYPERLINK("evidence/logs/ST-032_logs.txt", "evidence/logs/ST-032_logs.txt")</f>
        <v>evidence/logs/ST-032_logs.txt</v>
      </c>
    </row>
    <row r="37" spans="1:8" ht="40.049999999999997" customHeight="1" x14ac:dyDescent="0.4">
      <c r="A37" s="7" t="s">
        <v>175</v>
      </c>
      <c r="B37" s="10" t="s">
        <v>374</v>
      </c>
      <c r="C37" s="8" t="s">
        <v>27</v>
      </c>
      <c r="D37" s="7" t="s">
        <v>375</v>
      </c>
      <c r="E37" s="7" t="s">
        <v>376</v>
      </c>
      <c r="F37" s="10" t="s">
        <v>377</v>
      </c>
      <c r="G37" s="7" t="s">
        <v>412</v>
      </c>
      <c r="H37" s="11" t="str">
        <f>HYPERLINK("evidence/logs/ST-033_logs.txt", "evidence/logs/ST-033_logs.txt")</f>
        <v>evidence/logs/ST-033_logs.txt</v>
      </c>
    </row>
    <row r="38" spans="1:8" ht="40.049999999999997" customHeight="1" x14ac:dyDescent="0.4">
      <c r="A38" s="7" t="s">
        <v>177</v>
      </c>
      <c r="B38" s="10" t="s">
        <v>374</v>
      </c>
      <c r="C38" s="8" t="s">
        <v>27</v>
      </c>
      <c r="D38" s="7" t="s">
        <v>375</v>
      </c>
      <c r="E38" s="7" t="s">
        <v>376</v>
      </c>
      <c r="F38" s="10" t="s">
        <v>377</v>
      </c>
      <c r="G38" s="7" t="s">
        <v>413</v>
      </c>
      <c r="H38" s="11" t="str">
        <f>HYPERLINK("evidence/logs/ST-034_logs.txt", "evidence/logs/ST-034_logs.txt")</f>
        <v>evidence/logs/ST-034_logs.txt</v>
      </c>
    </row>
    <row r="39" spans="1:8" ht="40.049999999999997" customHeight="1" x14ac:dyDescent="0.4">
      <c r="A39" s="7" t="s">
        <v>179</v>
      </c>
      <c r="B39" s="10" t="s">
        <v>374</v>
      </c>
      <c r="C39" s="8" t="s">
        <v>27</v>
      </c>
      <c r="D39" s="7" t="s">
        <v>375</v>
      </c>
      <c r="E39" s="7" t="s">
        <v>376</v>
      </c>
      <c r="F39" s="10" t="s">
        <v>377</v>
      </c>
      <c r="G39" s="7" t="s">
        <v>414</v>
      </c>
      <c r="H39" s="11" t="str">
        <f>HYPERLINK("evidence/logs/ST-035_logs.txt", "evidence/logs/ST-035_logs.txt")</f>
        <v>evidence/logs/ST-035_logs.txt</v>
      </c>
    </row>
    <row r="40" spans="1:8" ht="40.049999999999997" customHeight="1" x14ac:dyDescent="0.4">
      <c r="A40" s="7" t="s">
        <v>181</v>
      </c>
      <c r="B40" s="10" t="s">
        <v>374</v>
      </c>
      <c r="C40" s="8" t="s">
        <v>27</v>
      </c>
      <c r="D40" s="7" t="s">
        <v>375</v>
      </c>
      <c r="E40" s="7" t="s">
        <v>376</v>
      </c>
      <c r="F40" s="10" t="s">
        <v>377</v>
      </c>
      <c r="G40" s="7" t="s">
        <v>415</v>
      </c>
      <c r="H40" s="11" t="str">
        <f>HYPERLINK("evidence/logs/ST-036_logs.txt", "evidence/logs/ST-036_logs.txt")</f>
        <v>evidence/logs/ST-036_logs.txt</v>
      </c>
    </row>
    <row r="41" spans="1:8" ht="40.049999999999997" customHeight="1" x14ac:dyDescent="0.4">
      <c r="A41" s="7" t="s">
        <v>183</v>
      </c>
      <c r="B41" s="10" t="s">
        <v>374</v>
      </c>
      <c r="C41" s="8" t="s">
        <v>27</v>
      </c>
      <c r="D41" s="7" t="s">
        <v>375</v>
      </c>
      <c r="E41" s="7" t="s">
        <v>376</v>
      </c>
      <c r="F41" s="10" t="s">
        <v>377</v>
      </c>
      <c r="G41" s="7" t="s">
        <v>416</v>
      </c>
      <c r="H41" s="11" t="str">
        <f>HYPERLINK("evidence/logs/ST-037_logs.txt", "evidence/logs/ST-037_logs.txt")</f>
        <v>evidence/logs/ST-037_logs.txt</v>
      </c>
    </row>
    <row r="42" spans="1:8" ht="40.049999999999997" customHeight="1" x14ac:dyDescent="0.4">
      <c r="A42" s="7" t="s">
        <v>185</v>
      </c>
      <c r="B42" s="10" t="s">
        <v>374</v>
      </c>
      <c r="C42" s="8" t="s">
        <v>27</v>
      </c>
      <c r="D42" s="7" t="s">
        <v>375</v>
      </c>
      <c r="E42" s="7" t="s">
        <v>376</v>
      </c>
      <c r="F42" s="10" t="s">
        <v>377</v>
      </c>
      <c r="G42" s="7" t="s">
        <v>417</v>
      </c>
      <c r="H42" s="11" t="str">
        <f>HYPERLINK("evidence/logs/ST-038_logs.txt", "evidence/logs/ST-038_logs.txt")</f>
        <v>evidence/logs/ST-038_logs.txt</v>
      </c>
    </row>
    <row r="43" spans="1:8" ht="40.049999999999997" customHeight="1" x14ac:dyDescent="0.4">
      <c r="A43" s="7" t="s">
        <v>190</v>
      </c>
      <c r="B43" s="10" t="s">
        <v>374</v>
      </c>
      <c r="C43" s="8" t="s">
        <v>27</v>
      </c>
      <c r="D43" s="7" t="s">
        <v>375</v>
      </c>
      <c r="E43" s="7" t="s">
        <v>376</v>
      </c>
      <c r="F43" s="10" t="s">
        <v>377</v>
      </c>
      <c r="G43" s="7" t="s">
        <v>418</v>
      </c>
      <c r="H43" s="11" t="str">
        <f>HYPERLINK("evidence/logs/ST-039_logs.txt", "evidence/logs/ST-039_logs.txt")</f>
        <v>evidence/logs/ST-039_logs.txt</v>
      </c>
    </row>
    <row r="44" spans="1:8" ht="40.049999999999997" customHeight="1" x14ac:dyDescent="0.4">
      <c r="A44" s="7" t="s">
        <v>195</v>
      </c>
      <c r="B44" s="10" t="s">
        <v>374</v>
      </c>
      <c r="C44" s="8" t="s">
        <v>27</v>
      </c>
      <c r="D44" s="7" t="s">
        <v>375</v>
      </c>
      <c r="E44" s="7" t="s">
        <v>376</v>
      </c>
      <c r="F44" s="10" t="s">
        <v>377</v>
      </c>
      <c r="G44" s="7" t="s">
        <v>419</v>
      </c>
      <c r="H44" s="11" t="str">
        <f>HYPERLINK("evidence/logs/ST-040_logs.txt", "evidence/logs/ST-040_logs.txt")</f>
        <v>evidence/logs/ST-040_logs.txt</v>
      </c>
    </row>
    <row r="45" spans="1:8" ht="40.049999999999997" customHeight="1" x14ac:dyDescent="0.4">
      <c r="A45" s="7" t="s">
        <v>197</v>
      </c>
      <c r="B45" s="10" t="s">
        <v>374</v>
      </c>
      <c r="C45" s="8" t="s">
        <v>27</v>
      </c>
      <c r="D45" s="7" t="s">
        <v>375</v>
      </c>
      <c r="E45" s="7" t="s">
        <v>376</v>
      </c>
      <c r="F45" s="10" t="s">
        <v>377</v>
      </c>
      <c r="G45" s="7" t="s">
        <v>420</v>
      </c>
      <c r="H45" s="11" t="str">
        <f>HYPERLINK("evidence/logs/ST-041_logs.txt", "evidence/logs/ST-041_logs.txt")</f>
        <v>evidence/logs/ST-041_logs.txt</v>
      </c>
    </row>
    <row r="46" spans="1:8" ht="40.049999999999997" customHeight="1" x14ac:dyDescent="0.4">
      <c r="A46" s="7" t="s">
        <v>203</v>
      </c>
      <c r="B46" s="10" t="s">
        <v>374</v>
      </c>
      <c r="C46" s="8" t="s">
        <v>27</v>
      </c>
      <c r="D46" s="7" t="s">
        <v>375</v>
      </c>
      <c r="E46" s="7" t="s">
        <v>376</v>
      </c>
      <c r="F46" s="10" t="s">
        <v>377</v>
      </c>
      <c r="G46" s="7" t="s">
        <v>421</v>
      </c>
      <c r="H46" s="11" t="str">
        <f>HYPERLINK("evidence/logs/ST-042_logs.txt", "evidence/logs/ST-042_logs.txt")</f>
        <v>evidence/logs/ST-042_logs.txt</v>
      </c>
    </row>
    <row r="47" spans="1:8" ht="40.049999999999997" customHeight="1" x14ac:dyDescent="0.4">
      <c r="A47" s="7" t="s">
        <v>205</v>
      </c>
      <c r="B47" s="10" t="s">
        <v>374</v>
      </c>
      <c r="C47" s="8" t="s">
        <v>27</v>
      </c>
      <c r="D47" s="7" t="s">
        <v>375</v>
      </c>
      <c r="E47" s="7" t="s">
        <v>376</v>
      </c>
      <c r="F47" s="10" t="s">
        <v>377</v>
      </c>
      <c r="G47" s="7" t="s">
        <v>422</v>
      </c>
      <c r="H47" s="11" t="str">
        <f>HYPERLINK("evidence/logs/ST-043_logs.txt", "evidence/logs/ST-043_logs.txt")</f>
        <v>evidence/logs/ST-043_logs.txt</v>
      </c>
    </row>
    <row r="48" spans="1:8" ht="40.049999999999997" customHeight="1" x14ac:dyDescent="0.4">
      <c r="A48" s="7" t="s">
        <v>207</v>
      </c>
      <c r="B48" s="10" t="s">
        <v>374</v>
      </c>
      <c r="C48" s="8" t="s">
        <v>27</v>
      </c>
      <c r="D48" s="7" t="s">
        <v>375</v>
      </c>
      <c r="E48" s="7" t="s">
        <v>376</v>
      </c>
      <c r="F48" s="10" t="s">
        <v>377</v>
      </c>
      <c r="G48" s="7" t="s">
        <v>423</v>
      </c>
      <c r="H48" s="11" t="str">
        <f>HYPERLINK("evidence/logs/ST-044_logs.txt", "evidence/logs/ST-044_logs.txt")</f>
        <v>evidence/logs/ST-044_logs.txt</v>
      </c>
    </row>
    <row r="49" spans="1:8" ht="40.049999999999997" customHeight="1" x14ac:dyDescent="0.4">
      <c r="A49" s="7" t="s">
        <v>209</v>
      </c>
      <c r="B49" s="10" t="s">
        <v>374</v>
      </c>
      <c r="C49" s="8" t="s">
        <v>27</v>
      </c>
      <c r="D49" s="7" t="s">
        <v>375</v>
      </c>
      <c r="E49" s="7" t="s">
        <v>376</v>
      </c>
      <c r="F49" s="10" t="s">
        <v>377</v>
      </c>
      <c r="G49" s="7" t="s">
        <v>424</v>
      </c>
      <c r="H49" s="11" t="str">
        <f>HYPERLINK("evidence/logs/ST-045_logs.txt", "evidence/logs/ST-045_logs.txt")</f>
        <v>evidence/logs/ST-045_logs.txt</v>
      </c>
    </row>
    <row r="50" spans="1:8" ht="40.049999999999997" customHeight="1" x14ac:dyDescent="0.4">
      <c r="A50" s="7" t="s">
        <v>213</v>
      </c>
      <c r="B50" s="10" t="s">
        <v>374</v>
      </c>
      <c r="C50" s="8" t="s">
        <v>27</v>
      </c>
      <c r="D50" s="7" t="s">
        <v>375</v>
      </c>
      <c r="E50" s="7" t="s">
        <v>376</v>
      </c>
      <c r="F50" s="10" t="s">
        <v>377</v>
      </c>
      <c r="G50" s="7" t="s">
        <v>425</v>
      </c>
      <c r="H50" s="11" t="str">
        <f>HYPERLINK("evidence/logs/ST-046_logs.txt", "evidence/logs/ST-046_logs.txt")</f>
        <v>evidence/logs/ST-046_logs.txt</v>
      </c>
    </row>
    <row r="51" spans="1:8" ht="40.049999999999997" customHeight="1" x14ac:dyDescent="0.4">
      <c r="A51" s="7" t="s">
        <v>217</v>
      </c>
      <c r="B51" s="10" t="s">
        <v>374</v>
      </c>
      <c r="C51" s="8" t="s">
        <v>27</v>
      </c>
      <c r="D51" s="7" t="s">
        <v>375</v>
      </c>
      <c r="E51" s="7" t="s">
        <v>376</v>
      </c>
      <c r="F51" s="10" t="s">
        <v>377</v>
      </c>
      <c r="G51" s="7" t="s">
        <v>426</v>
      </c>
      <c r="H51" s="11" t="str">
        <f>HYPERLINK("evidence/logs/ST-047_logs.txt", "evidence/logs/ST-047_logs.txt")</f>
        <v>evidence/logs/ST-047_logs.txt</v>
      </c>
    </row>
    <row r="52" spans="1:8" ht="40.049999999999997" customHeight="1" x14ac:dyDescent="0.4">
      <c r="A52" s="7" t="s">
        <v>219</v>
      </c>
      <c r="B52" s="10" t="s">
        <v>374</v>
      </c>
      <c r="C52" s="8" t="s">
        <v>27</v>
      </c>
      <c r="D52" s="7" t="s">
        <v>375</v>
      </c>
      <c r="E52" s="7" t="s">
        <v>376</v>
      </c>
      <c r="F52" s="10" t="s">
        <v>377</v>
      </c>
      <c r="G52" s="7" t="s">
        <v>427</v>
      </c>
      <c r="H52" s="11" t="str">
        <f>HYPERLINK("evidence/logs/ST-048_logs.txt", "evidence/logs/ST-048_logs.txt")</f>
        <v>evidence/logs/ST-048_logs.txt</v>
      </c>
    </row>
    <row r="53" spans="1:8" ht="40.049999999999997" customHeight="1" x14ac:dyDescent="0.4">
      <c r="A53" s="7" t="s">
        <v>221</v>
      </c>
      <c r="B53" s="10" t="s">
        <v>374</v>
      </c>
      <c r="C53" s="8" t="s">
        <v>27</v>
      </c>
      <c r="D53" s="7" t="s">
        <v>375</v>
      </c>
      <c r="E53" s="7" t="s">
        <v>376</v>
      </c>
      <c r="F53" s="10" t="s">
        <v>377</v>
      </c>
      <c r="G53" s="7" t="s">
        <v>428</v>
      </c>
      <c r="H53" s="11" t="str">
        <f>HYPERLINK("evidence/logs/ST-049_logs.txt", "evidence/logs/ST-049_logs.txt")</f>
        <v>evidence/logs/ST-049_logs.txt</v>
      </c>
    </row>
    <row r="54" spans="1:8" ht="40.049999999999997" customHeight="1" x14ac:dyDescent="0.4">
      <c r="A54" s="7" t="s">
        <v>223</v>
      </c>
      <c r="B54" s="10" t="s">
        <v>429</v>
      </c>
      <c r="C54" s="8" t="s">
        <v>27</v>
      </c>
      <c r="D54" s="7" t="s">
        <v>375</v>
      </c>
      <c r="E54" s="7" t="s">
        <v>376</v>
      </c>
      <c r="F54" s="10" t="s">
        <v>430</v>
      </c>
      <c r="G54" s="7" t="s">
        <v>431</v>
      </c>
      <c r="H54" s="11" t="str">
        <f>HYPERLINK("evidence/logs/ST-050_logs.txt", "evidence/logs/ST-050_logs.txt")</f>
        <v>evidence/logs/ST-050_logs.txt</v>
      </c>
    </row>
    <row r="55" spans="1:8" ht="40.049999999999997" customHeight="1" x14ac:dyDescent="0.4">
      <c r="A55" s="7" t="s">
        <v>227</v>
      </c>
      <c r="B55" s="10" t="s">
        <v>374</v>
      </c>
      <c r="C55" s="8" t="s">
        <v>27</v>
      </c>
      <c r="D55" s="7" t="s">
        <v>375</v>
      </c>
      <c r="E55" s="7" t="s">
        <v>376</v>
      </c>
      <c r="F55" s="10" t="s">
        <v>377</v>
      </c>
      <c r="G55" s="7" t="s">
        <v>432</v>
      </c>
      <c r="H55" s="11" t="str">
        <f>HYPERLINK("evidence/logs/ST-051_logs.txt", "evidence/logs/ST-051_logs.txt")</f>
        <v>evidence/logs/ST-051_logs.txt</v>
      </c>
    </row>
    <row r="56" spans="1:8" ht="40.049999999999997" customHeight="1" x14ac:dyDescent="0.4">
      <c r="A56" s="7" t="s">
        <v>233</v>
      </c>
      <c r="B56" s="10" t="s">
        <v>374</v>
      </c>
      <c r="C56" s="8" t="s">
        <v>27</v>
      </c>
      <c r="D56" s="7" t="s">
        <v>375</v>
      </c>
      <c r="E56" s="7" t="s">
        <v>376</v>
      </c>
      <c r="F56" s="10" t="s">
        <v>377</v>
      </c>
      <c r="G56" s="7" t="s">
        <v>433</v>
      </c>
      <c r="H56" s="11" t="str">
        <f>HYPERLINK("evidence/logs/ST-052_logs.txt", "evidence/logs/ST-052_logs.txt")</f>
        <v>evidence/logs/ST-052_logs.txt</v>
      </c>
    </row>
    <row r="57" spans="1:8" ht="40.049999999999997" customHeight="1" x14ac:dyDescent="0.4">
      <c r="A57" s="7" t="s">
        <v>235</v>
      </c>
      <c r="B57" s="10" t="s">
        <v>374</v>
      </c>
      <c r="C57" s="8" t="s">
        <v>27</v>
      </c>
      <c r="D57" s="7" t="s">
        <v>375</v>
      </c>
      <c r="E57" s="7" t="s">
        <v>376</v>
      </c>
      <c r="F57" s="10" t="s">
        <v>377</v>
      </c>
      <c r="G57" s="7" t="s">
        <v>434</v>
      </c>
      <c r="H57" s="11" t="str">
        <f>HYPERLINK("evidence/logs/ST-053_logs.txt", "evidence/logs/ST-053_logs.txt")</f>
        <v>evidence/logs/ST-053_logs.txt</v>
      </c>
    </row>
    <row r="58" spans="1:8" ht="40.049999999999997" customHeight="1" x14ac:dyDescent="0.4">
      <c r="A58" s="7" t="s">
        <v>240</v>
      </c>
      <c r="B58" s="10" t="s">
        <v>374</v>
      </c>
      <c r="C58" s="8" t="s">
        <v>27</v>
      </c>
      <c r="D58" s="7" t="s">
        <v>375</v>
      </c>
      <c r="E58" s="7" t="s">
        <v>376</v>
      </c>
      <c r="F58" s="10" t="s">
        <v>377</v>
      </c>
      <c r="G58" s="7" t="s">
        <v>435</v>
      </c>
      <c r="H58" s="11" t="str">
        <f>HYPERLINK("evidence/logs/ST-054_logs.txt", "evidence/logs/ST-054_logs.txt")</f>
        <v>evidence/logs/ST-054_logs.txt</v>
      </c>
    </row>
    <row r="59" spans="1:8" ht="40.049999999999997" customHeight="1" x14ac:dyDescent="0.4">
      <c r="A59" s="7" t="s">
        <v>244</v>
      </c>
      <c r="B59" s="10" t="s">
        <v>374</v>
      </c>
      <c r="C59" s="8" t="s">
        <v>27</v>
      </c>
      <c r="D59" s="7" t="s">
        <v>375</v>
      </c>
      <c r="E59" s="7" t="s">
        <v>376</v>
      </c>
      <c r="F59" s="10" t="s">
        <v>377</v>
      </c>
      <c r="G59" s="7" t="s">
        <v>436</v>
      </c>
      <c r="H59" s="11" t="str">
        <f>HYPERLINK("evidence/logs/ST-055_logs.txt", "evidence/logs/ST-055_logs.txt")</f>
        <v>evidence/logs/ST-055_logs.txt</v>
      </c>
    </row>
    <row r="60" spans="1:8" ht="40.049999999999997" customHeight="1" x14ac:dyDescent="0.4">
      <c r="A60" s="7" t="s">
        <v>246</v>
      </c>
      <c r="B60" s="10" t="s">
        <v>374</v>
      </c>
      <c r="C60" s="8" t="s">
        <v>27</v>
      </c>
      <c r="D60" s="7" t="s">
        <v>375</v>
      </c>
      <c r="E60" s="7" t="s">
        <v>376</v>
      </c>
      <c r="F60" s="10" t="s">
        <v>377</v>
      </c>
      <c r="G60" s="7" t="s">
        <v>437</v>
      </c>
      <c r="H60" s="11" t="str">
        <f>HYPERLINK("evidence/logs/ST-056_logs.txt", "evidence/logs/ST-056_logs.txt")</f>
        <v>evidence/logs/ST-056_logs.txt</v>
      </c>
    </row>
    <row r="61" spans="1:8" ht="40.049999999999997" customHeight="1" x14ac:dyDescent="0.4">
      <c r="A61" s="7" t="s">
        <v>252</v>
      </c>
      <c r="B61" s="10" t="s">
        <v>374</v>
      </c>
      <c r="C61" s="8" t="s">
        <v>27</v>
      </c>
      <c r="D61" s="7" t="s">
        <v>375</v>
      </c>
      <c r="E61" s="7" t="s">
        <v>376</v>
      </c>
      <c r="F61" s="10" t="s">
        <v>377</v>
      </c>
      <c r="G61" s="7" t="s">
        <v>438</v>
      </c>
      <c r="H61" s="11" t="str">
        <f>HYPERLINK("evidence/logs/ST-057_logs.txt", "evidence/logs/ST-057_logs.txt")</f>
        <v>evidence/logs/ST-057_logs.txt</v>
      </c>
    </row>
    <row r="62" spans="1:8" ht="40.049999999999997" customHeight="1" x14ac:dyDescent="0.4">
      <c r="A62" s="7" t="s">
        <v>255</v>
      </c>
      <c r="B62" s="10" t="s">
        <v>374</v>
      </c>
      <c r="C62" s="8" t="s">
        <v>27</v>
      </c>
      <c r="D62" s="7" t="s">
        <v>375</v>
      </c>
      <c r="E62" s="7" t="s">
        <v>376</v>
      </c>
      <c r="F62" s="10" t="s">
        <v>377</v>
      </c>
      <c r="G62" s="7" t="s">
        <v>439</v>
      </c>
      <c r="H62" s="11" t="str">
        <f>HYPERLINK("evidence/logs/ST-058_logs.txt", "evidence/logs/ST-058_logs.txt")</f>
        <v>evidence/logs/ST-058_logs.txt</v>
      </c>
    </row>
    <row r="63" spans="1:8" ht="40.049999999999997" customHeight="1" x14ac:dyDescent="0.4">
      <c r="A63" s="7" t="s">
        <v>258</v>
      </c>
      <c r="B63" s="10" t="s">
        <v>374</v>
      </c>
      <c r="C63" s="8" t="s">
        <v>27</v>
      </c>
      <c r="D63" s="7" t="s">
        <v>375</v>
      </c>
      <c r="E63" s="7" t="s">
        <v>376</v>
      </c>
      <c r="F63" s="10" t="s">
        <v>377</v>
      </c>
      <c r="G63" s="7" t="s">
        <v>440</v>
      </c>
      <c r="H63" s="11" t="str">
        <f>HYPERLINK("evidence/logs/ST-059_logs.txt", "evidence/logs/ST-059_logs.txt")</f>
        <v>evidence/logs/ST-059_logs.txt</v>
      </c>
    </row>
    <row r="64" spans="1:8" ht="40.049999999999997" customHeight="1" x14ac:dyDescent="0.4">
      <c r="A64" s="7" t="s">
        <v>260</v>
      </c>
      <c r="B64" s="10" t="s">
        <v>374</v>
      </c>
      <c r="C64" s="8" t="s">
        <v>27</v>
      </c>
      <c r="D64" s="7" t="s">
        <v>375</v>
      </c>
      <c r="E64" s="7" t="s">
        <v>376</v>
      </c>
      <c r="F64" s="10" t="s">
        <v>377</v>
      </c>
      <c r="G64" s="7" t="s">
        <v>441</v>
      </c>
      <c r="H64" s="11" t="str">
        <f>HYPERLINK("evidence/logs/ST-060_logs.txt", "evidence/logs/ST-060_logs.txt")</f>
        <v>evidence/logs/ST-060_logs.txt</v>
      </c>
    </row>
    <row r="65" spans="1:8" ht="40.049999999999997" customHeight="1" x14ac:dyDescent="0.4">
      <c r="A65" s="7" t="s">
        <v>262</v>
      </c>
      <c r="B65" s="10" t="s">
        <v>374</v>
      </c>
      <c r="C65" s="8" t="s">
        <v>27</v>
      </c>
      <c r="D65" s="7" t="s">
        <v>375</v>
      </c>
      <c r="E65" s="7" t="s">
        <v>376</v>
      </c>
      <c r="F65" s="10" t="s">
        <v>377</v>
      </c>
      <c r="G65" s="7" t="s">
        <v>442</v>
      </c>
      <c r="H65" s="11" t="str">
        <f>HYPERLINK("evidence/logs/ST-061_logs.txt", "evidence/logs/ST-061_logs.txt")</f>
        <v>evidence/logs/ST-061_logs.txt</v>
      </c>
    </row>
    <row r="66" spans="1:8" ht="40.049999999999997" customHeight="1" x14ac:dyDescent="0.4">
      <c r="A66" s="7" t="s">
        <v>264</v>
      </c>
      <c r="B66" s="10" t="s">
        <v>374</v>
      </c>
      <c r="C66" s="8" t="s">
        <v>27</v>
      </c>
      <c r="D66" s="7" t="s">
        <v>375</v>
      </c>
      <c r="E66" s="7" t="s">
        <v>376</v>
      </c>
      <c r="F66" s="10" t="s">
        <v>377</v>
      </c>
      <c r="G66" s="7" t="s">
        <v>443</v>
      </c>
      <c r="H66" s="11" t="str">
        <f>HYPERLINK("evidence/logs/ST-062_logs.txt", "evidence/logs/ST-062_logs.txt")</f>
        <v>evidence/logs/ST-062_logs.txt</v>
      </c>
    </row>
    <row r="67" spans="1:8" ht="40.049999999999997" customHeight="1" x14ac:dyDescent="0.4">
      <c r="A67" s="7" t="s">
        <v>266</v>
      </c>
      <c r="B67" s="10" t="s">
        <v>374</v>
      </c>
      <c r="C67" s="8" t="s">
        <v>27</v>
      </c>
      <c r="D67" s="7" t="s">
        <v>375</v>
      </c>
      <c r="E67" s="7" t="s">
        <v>376</v>
      </c>
      <c r="F67" s="10" t="s">
        <v>377</v>
      </c>
      <c r="G67" s="7" t="s">
        <v>444</v>
      </c>
      <c r="H67" s="11" t="str">
        <f>HYPERLINK("evidence/logs/ST-063_logs.txt", "evidence/logs/ST-063_logs.txt")</f>
        <v>evidence/logs/ST-063_logs.txt</v>
      </c>
    </row>
    <row r="68" spans="1:8" ht="40.049999999999997" customHeight="1" x14ac:dyDescent="0.4">
      <c r="A68" s="7" t="s">
        <v>268</v>
      </c>
      <c r="B68" s="10" t="s">
        <v>374</v>
      </c>
      <c r="C68" s="8" t="s">
        <v>27</v>
      </c>
      <c r="D68" s="7" t="s">
        <v>375</v>
      </c>
      <c r="E68" s="7" t="s">
        <v>376</v>
      </c>
      <c r="F68" s="10" t="s">
        <v>377</v>
      </c>
      <c r="G68" s="7" t="s">
        <v>445</v>
      </c>
      <c r="H68" s="11" t="str">
        <f>HYPERLINK("evidence/logs/ST-064_logs.txt", "evidence/logs/ST-064_logs.txt")</f>
        <v>evidence/logs/ST-064_logs.txt</v>
      </c>
    </row>
    <row r="69" spans="1:8" ht="40.049999999999997" customHeight="1" x14ac:dyDescent="0.4">
      <c r="A69" s="7" t="s">
        <v>270</v>
      </c>
      <c r="B69" s="10" t="s">
        <v>374</v>
      </c>
      <c r="C69" s="8" t="s">
        <v>27</v>
      </c>
      <c r="D69" s="7" t="s">
        <v>375</v>
      </c>
      <c r="E69" s="7" t="s">
        <v>376</v>
      </c>
      <c r="F69" s="10" t="s">
        <v>377</v>
      </c>
      <c r="G69" s="7" t="s">
        <v>446</v>
      </c>
      <c r="H69" s="11" t="str">
        <f>HYPERLINK("evidence/logs/ST-065_logs.txt", "evidence/logs/ST-065_logs.txt")</f>
        <v>evidence/logs/ST-065_logs.txt</v>
      </c>
    </row>
    <row r="70" spans="1:8" ht="40.049999999999997" customHeight="1" x14ac:dyDescent="0.4">
      <c r="A70" s="7" t="s">
        <v>272</v>
      </c>
      <c r="B70" s="10" t="s">
        <v>374</v>
      </c>
      <c r="C70" s="8" t="s">
        <v>27</v>
      </c>
      <c r="D70" s="7" t="s">
        <v>375</v>
      </c>
      <c r="E70" s="7" t="s">
        <v>376</v>
      </c>
      <c r="F70" s="10" t="s">
        <v>377</v>
      </c>
      <c r="G70" s="7" t="s">
        <v>447</v>
      </c>
      <c r="H70" s="11" t="str">
        <f>HYPERLINK("evidence/logs/ST-066_logs.txt", "evidence/logs/ST-066_logs.txt")</f>
        <v>evidence/logs/ST-066_logs.txt</v>
      </c>
    </row>
    <row r="71" spans="1:8" ht="40.049999999999997" customHeight="1" x14ac:dyDescent="0.4">
      <c r="A71" s="7" t="s">
        <v>278</v>
      </c>
      <c r="B71" s="10" t="s">
        <v>374</v>
      </c>
      <c r="C71" s="8" t="s">
        <v>27</v>
      </c>
      <c r="D71" s="7" t="s">
        <v>375</v>
      </c>
      <c r="E71" s="7" t="s">
        <v>376</v>
      </c>
      <c r="F71" s="10" t="s">
        <v>377</v>
      </c>
      <c r="G71" s="7" t="s">
        <v>448</v>
      </c>
      <c r="H71" s="11" t="str">
        <f>HYPERLINK("evidence/logs/ST-067_logs.txt", "evidence/logs/ST-067_logs.txt")</f>
        <v>evidence/logs/ST-067_logs.txt</v>
      </c>
    </row>
    <row r="72" spans="1:8" ht="40.049999999999997" customHeight="1" x14ac:dyDescent="0.4">
      <c r="A72" s="7" t="s">
        <v>280</v>
      </c>
      <c r="B72" s="10" t="s">
        <v>374</v>
      </c>
      <c r="C72" s="8" t="s">
        <v>27</v>
      </c>
      <c r="D72" s="7" t="s">
        <v>375</v>
      </c>
      <c r="E72" s="7" t="s">
        <v>376</v>
      </c>
      <c r="F72" s="10" t="s">
        <v>377</v>
      </c>
      <c r="G72" s="7" t="s">
        <v>449</v>
      </c>
      <c r="H72" s="11" t="str">
        <f>HYPERLINK("evidence/logs/ST-068_logs.txt", "evidence/logs/ST-068_logs.txt")</f>
        <v>evidence/logs/ST-068_logs.txt</v>
      </c>
    </row>
    <row r="73" spans="1:8" ht="40.049999999999997" customHeight="1" x14ac:dyDescent="0.4">
      <c r="A73" s="7" t="s">
        <v>282</v>
      </c>
      <c r="B73" s="10" t="s">
        <v>374</v>
      </c>
      <c r="C73" s="8" t="s">
        <v>27</v>
      </c>
      <c r="D73" s="7" t="s">
        <v>375</v>
      </c>
      <c r="E73" s="7" t="s">
        <v>376</v>
      </c>
      <c r="F73" s="10" t="s">
        <v>377</v>
      </c>
      <c r="G73" s="7" t="s">
        <v>450</v>
      </c>
      <c r="H73" s="11" t="str">
        <f>HYPERLINK("evidence/logs/ST-069_logs.txt", "evidence/logs/ST-069_logs.txt")</f>
        <v>evidence/logs/ST-069_logs.txt</v>
      </c>
    </row>
    <row r="74" spans="1:8" ht="40.049999999999997" customHeight="1" x14ac:dyDescent="0.4">
      <c r="A74" s="7" t="s">
        <v>284</v>
      </c>
      <c r="B74" s="10" t="s">
        <v>451</v>
      </c>
      <c r="C74" s="8" t="s">
        <v>27</v>
      </c>
      <c r="D74" s="7" t="s">
        <v>375</v>
      </c>
      <c r="E74" s="7" t="s">
        <v>376</v>
      </c>
      <c r="F74" s="10" t="s">
        <v>452</v>
      </c>
      <c r="G74" s="7" t="s">
        <v>453</v>
      </c>
      <c r="H74" s="11" t="str">
        <f>HYPERLINK("evidence/logs/ST-070_logs.txt", "evidence/logs/ST-070_logs.txt")</f>
        <v>evidence/logs/ST-070_logs.txt</v>
      </c>
    </row>
    <row r="75" spans="1:8" ht="40.049999999999997" customHeight="1" x14ac:dyDescent="0.4">
      <c r="A75" s="7" t="s">
        <v>288</v>
      </c>
      <c r="B75" s="10" t="s">
        <v>374</v>
      </c>
      <c r="C75" s="8" t="s">
        <v>27</v>
      </c>
      <c r="D75" s="7" t="s">
        <v>375</v>
      </c>
      <c r="E75" s="7" t="s">
        <v>376</v>
      </c>
      <c r="F75" s="10" t="s">
        <v>377</v>
      </c>
      <c r="G75" s="7" t="s">
        <v>454</v>
      </c>
      <c r="H75" s="11" t="str">
        <f>HYPERLINK("evidence/logs/ST-071_logs.txt", "evidence/logs/ST-071_logs.txt")</f>
        <v>evidence/logs/ST-071_logs.txt</v>
      </c>
    </row>
    <row r="76" spans="1:8" ht="40.049999999999997" customHeight="1" x14ac:dyDescent="0.4">
      <c r="A76" s="7" t="s">
        <v>292</v>
      </c>
      <c r="B76" s="10" t="s">
        <v>374</v>
      </c>
      <c r="C76" s="8" t="s">
        <v>27</v>
      </c>
      <c r="D76" s="7" t="s">
        <v>375</v>
      </c>
      <c r="E76" s="7" t="s">
        <v>376</v>
      </c>
      <c r="F76" s="10" t="s">
        <v>377</v>
      </c>
      <c r="G76" s="7" t="s">
        <v>455</v>
      </c>
      <c r="H76" s="11" t="str">
        <f>HYPERLINK("evidence/logs/ST-072_logs.txt", "evidence/logs/ST-072_logs.txt")</f>
        <v>evidence/logs/ST-072_logs.txt</v>
      </c>
    </row>
    <row r="77" spans="1:8" ht="40.049999999999997" customHeight="1" x14ac:dyDescent="0.4">
      <c r="A77" s="7" t="s">
        <v>294</v>
      </c>
      <c r="B77" s="10" t="s">
        <v>374</v>
      </c>
      <c r="C77" s="8" t="s">
        <v>27</v>
      </c>
      <c r="D77" s="7" t="s">
        <v>375</v>
      </c>
      <c r="E77" s="7" t="s">
        <v>376</v>
      </c>
      <c r="F77" s="10" t="s">
        <v>377</v>
      </c>
      <c r="G77" s="7" t="s">
        <v>456</v>
      </c>
      <c r="H77" s="11" t="str">
        <f>HYPERLINK("evidence/logs/ST-073_logs.txt", "evidence/logs/ST-073_logs.txt")</f>
        <v>evidence/logs/ST-073_logs.txt</v>
      </c>
    </row>
    <row r="78" spans="1:8" ht="40.049999999999997" customHeight="1" x14ac:dyDescent="0.4">
      <c r="A78" s="7" t="s">
        <v>296</v>
      </c>
      <c r="B78" s="10" t="s">
        <v>374</v>
      </c>
      <c r="C78" s="8" t="s">
        <v>27</v>
      </c>
      <c r="D78" s="7" t="s">
        <v>375</v>
      </c>
      <c r="E78" s="7" t="s">
        <v>376</v>
      </c>
      <c r="F78" s="10" t="s">
        <v>377</v>
      </c>
      <c r="G78" s="7" t="s">
        <v>457</v>
      </c>
      <c r="H78" s="11" t="str">
        <f>HYPERLINK("evidence/logs/ST-074_logs.txt", "evidence/logs/ST-074_logs.txt")</f>
        <v>evidence/logs/ST-074_logs.txt</v>
      </c>
    </row>
    <row r="79" spans="1:8" ht="40.049999999999997" customHeight="1" x14ac:dyDescent="0.4">
      <c r="A79" s="7" t="s">
        <v>298</v>
      </c>
      <c r="B79" s="10" t="s">
        <v>374</v>
      </c>
      <c r="C79" s="8" t="s">
        <v>27</v>
      </c>
      <c r="D79" s="7" t="s">
        <v>375</v>
      </c>
      <c r="E79" s="7" t="s">
        <v>376</v>
      </c>
      <c r="F79" s="10" t="s">
        <v>377</v>
      </c>
      <c r="G79" s="7" t="s">
        <v>458</v>
      </c>
      <c r="H79" s="11" t="str">
        <f>HYPERLINK("evidence/logs/ST-075_logs.txt", "evidence/logs/ST-075_logs.txt")</f>
        <v>evidence/logs/ST-075_logs.txt</v>
      </c>
    </row>
    <row r="80" spans="1:8" ht="40.049999999999997" customHeight="1" x14ac:dyDescent="0.4">
      <c r="A80" s="7" t="s">
        <v>300</v>
      </c>
      <c r="B80" s="10" t="s">
        <v>374</v>
      </c>
      <c r="C80" s="8" t="s">
        <v>27</v>
      </c>
      <c r="D80" s="7" t="s">
        <v>375</v>
      </c>
      <c r="E80" s="7" t="s">
        <v>376</v>
      </c>
      <c r="F80" s="10" t="s">
        <v>377</v>
      </c>
      <c r="G80" s="7" t="s">
        <v>459</v>
      </c>
      <c r="H80" s="11" t="str">
        <f>HYPERLINK("evidence/logs/ST-076_logs.txt", "evidence/logs/ST-076_logs.txt")</f>
        <v>evidence/logs/ST-076_logs.txt</v>
      </c>
    </row>
    <row r="81" spans="1:8" ht="40.049999999999997" customHeight="1" x14ac:dyDescent="0.4">
      <c r="A81" s="7" t="s">
        <v>306</v>
      </c>
      <c r="B81" s="10" t="s">
        <v>374</v>
      </c>
      <c r="C81" s="8" t="s">
        <v>27</v>
      </c>
      <c r="D81" s="7" t="s">
        <v>375</v>
      </c>
      <c r="E81" s="7" t="s">
        <v>376</v>
      </c>
      <c r="F81" s="10" t="s">
        <v>377</v>
      </c>
      <c r="G81" s="7" t="s">
        <v>460</v>
      </c>
      <c r="H81" s="11" t="str">
        <f>HYPERLINK("evidence/logs/ST-077_logs.txt", "evidence/logs/ST-077_logs.txt")</f>
        <v>evidence/logs/ST-077_logs.txt</v>
      </c>
    </row>
    <row r="82" spans="1:8" ht="40.049999999999997" customHeight="1" x14ac:dyDescent="0.4">
      <c r="A82" s="7" t="s">
        <v>310</v>
      </c>
      <c r="B82" s="10" t="s">
        <v>461</v>
      </c>
      <c r="C82" s="8" t="s">
        <v>27</v>
      </c>
      <c r="D82" s="7" t="s">
        <v>375</v>
      </c>
      <c r="E82" s="7" t="s">
        <v>376</v>
      </c>
      <c r="F82" s="10" t="s">
        <v>462</v>
      </c>
      <c r="G82" s="7" t="s">
        <v>463</v>
      </c>
      <c r="H82" s="11" t="str">
        <f>HYPERLINK("evidence/logs/ST-078_logs.txt", "evidence/logs/ST-078_logs.txt")</f>
        <v>evidence/logs/ST-078_logs.txt</v>
      </c>
    </row>
    <row r="83" spans="1:8" ht="40.049999999999997" customHeight="1" x14ac:dyDescent="0.4">
      <c r="A83" s="7" t="s">
        <v>312</v>
      </c>
      <c r="B83" s="10" t="s">
        <v>374</v>
      </c>
      <c r="C83" s="8" t="s">
        <v>27</v>
      </c>
      <c r="D83" s="7" t="s">
        <v>375</v>
      </c>
      <c r="E83" s="7" t="s">
        <v>376</v>
      </c>
      <c r="F83" s="10" t="s">
        <v>377</v>
      </c>
      <c r="G83" s="7" t="s">
        <v>464</v>
      </c>
      <c r="H83" s="11" t="str">
        <f>HYPERLINK("evidence/logs/ST-079_logs.txt", "evidence/logs/ST-079_logs.txt")</f>
        <v>evidence/logs/ST-079_logs.txt</v>
      </c>
    </row>
    <row r="84" spans="1:8" ht="40.049999999999997" customHeight="1" x14ac:dyDescent="0.4">
      <c r="A84" s="7" t="s">
        <v>316</v>
      </c>
      <c r="B84" s="10" t="s">
        <v>374</v>
      </c>
      <c r="C84" s="8" t="s">
        <v>27</v>
      </c>
      <c r="D84" s="7" t="s">
        <v>375</v>
      </c>
      <c r="E84" s="7" t="s">
        <v>376</v>
      </c>
      <c r="F84" s="10" t="s">
        <v>377</v>
      </c>
      <c r="G84" s="7" t="s">
        <v>465</v>
      </c>
      <c r="H84" s="11" t="str">
        <f>HYPERLINK("evidence/logs/ST-080_logs.txt", "evidence/logs/ST-080_logs.txt")</f>
        <v>evidence/logs/ST-080_logs.txt</v>
      </c>
    </row>
    <row r="85" spans="1:8" ht="40.049999999999997" customHeight="1" x14ac:dyDescent="0.4">
      <c r="A85" s="7" t="s">
        <v>318</v>
      </c>
      <c r="B85" s="10" t="s">
        <v>374</v>
      </c>
      <c r="C85" s="8" t="s">
        <v>27</v>
      </c>
      <c r="D85" s="7" t="s">
        <v>375</v>
      </c>
      <c r="E85" s="7" t="s">
        <v>376</v>
      </c>
      <c r="F85" s="10" t="s">
        <v>377</v>
      </c>
      <c r="G85" s="7" t="s">
        <v>466</v>
      </c>
      <c r="H85" s="11" t="str">
        <f>HYPERLINK("evidence/logs/ST-081_logs.txt", "evidence/logs/ST-081_logs.txt")</f>
        <v>evidence/logs/ST-081_logs.txt</v>
      </c>
    </row>
    <row r="86" spans="1:8" ht="40.049999999999997" customHeight="1" x14ac:dyDescent="0.4">
      <c r="A86" s="7" t="s">
        <v>324</v>
      </c>
      <c r="B86" s="10" t="s">
        <v>374</v>
      </c>
      <c r="C86" s="8" t="s">
        <v>27</v>
      </c>
      <c r="D86" s="7" t="s">
        <v>375</v>
      </c>
      <c r="E86" s="7" t="s">
        <v>376</v>
      </c>
      <c r="F86" s="10" t="s">
        <v>377</v>
      </c>
      <c r="G86" s="7" t="s">
        <v>467</v>
      </c>
      <c r="H86" s="11" t="str">
        <f>HYPERLINK("evidence/logs/ST-082_logs.txt", "evidence/logs/ST-082_logs.txt")</f>
        <v>evidence/logs/ST-082_logs.txt</v>
      </c>
    </row>
    <row r="87" spans="1:8" ht="40.049999999999997" customHeight="1" x14ac:dyDescent="0.4">
      <c r="A87" s="7" t="s">
        <v>327</v>
      </c>
      <c r="B87" s="10" t="s">
        <v>374</v>
      </c>
      <c r="C87" s="8" t="s">
        <v>27</v>
      </c>
      <c r="D87" s="7" t="s">
        <v>375</v>
      </c>
      <c r="E87" s="7" t="s">
        <v>376</v>
      </c>
      <c r="F87" s="10" t="s">
        <v>377</v>
      </c>
      <c r="G87" s="7" t="s">
        <v>468</v>
      </c>
      <c r="H87" s="11" t="str">
        <f>HYPERLINK("evidence/logs/ST-083_logs.txt", "evidence/logs/ST-083_logs.txt")</f>
        <v>evidence/logs/ST-083_logs.txt</v>
      </c>
    </row>
    <row r="88" spans="1:8" ht="40.049999999999997" customHeight="1" x14ac:dyDescent="0.4">
      <c r="A88" s="7" t="s">
        <v>331</v>
      </c>
      <c r="B88" s="10" t="s">
        <v>469</v>
      </c>
      <c r="C88" s="8" t="s">
        <v>27</v>
      </c>
      <c r="D88" s="7" t="s">
        <v>375</v>
      </c>
      <c r="E88" s="7" t="s">
        <v>376</v>
      </c>
      <c r="F88" s="10" t="s">
        <v>470</v>
      </c>
      <c r="G88" s="7" t="s">
        <v>471</v>
      </c>
      <c r="H88" s="11" t="str">
        <f>HYPERLINK("evidence/logs/ST-084_logs.txt", "evidence/logs/ST-084_logs.txt")</f>
        <v>evidence/logs/ST-084_logs.txt</v>
      </c>
    </row>
    <row r="89" spans="1:8" ht="40.049999999999997" customHeight="1" x14ac:dyDescent="0.4">
      <c r="A89" s="7" t="s">
        <v>333</v>
      </c>
      <c r="B89" s="10" t="s">
        <v>374</v>
      </c>
      <c r="C89" s="8" t="s">
        <v>27</v>
      </c>
      <c r="D89" s="7" t="s">
        <v>375</v>
      </c>
      <c r="E89" s="7" t="s">
        <v>376</v>
      </c>
      <c r="F89" s="10" t="s">
        <v>377</v>
      </c>
      <c r="G89" s="7" t="s">
        <v>472</v>
      </c>
      <c r="H89" s="11" t="str">
        <f>HYPERLINK("evidence/logs/ST-085_logs.txt", "evidence/logs/ST-085_logs.txt")</f>
        <v>evidence/logs/ST-085_logs.txt</v>
      </c>
    </row>
    <row r="90" spans="1:8" ht="40.049999999999997" customHeight="1" x14ac:dyDescent="0.4">
      <c r="A90" s="7" t="s">
        <v>335</v>
      </c>
      <c r="B90" s="10" t="s">
        <v>374</v>
      </c>
      <c r="C90" s="8" t="s">
        <v>27</v>
      </c>
      <c r="D90" s="7" t="s">
        <v>375</v>
      </c>
      <c r="E90" s="7" t="s">
        <v>376</v>
      </c>
      <c r="F90" s="10" t="s">
        <v>377</v>
      </c>
      <c r="G90" s="7" t="s">
        <v>473</v>
      </c>
      <c r="H90" s="11" t="str">
        <f>HYPERLINK("evidence/logs/ST-086_logs.txt", "evidence/logs/ST-086_logs.txt")</f>
        <v>evidence/logs/ST-086_logs.txt</v>
      </c>
    </row>
    <row r="91" spans="1:8" ht="40.049999999999997" customHeight="1" x14ac:dyDescent="0.4">
      <c r="A91" s="7" t="s">
        <v>341</v>
      </c>
      <c r="B91" s="10" t="s">
        <v>374</v>
      </c>
      <c r="C91" s="8" t="s">
        <v>27</v>
      </c>
      <c r="D91" s="7" t="s">
        <v>375</v>
      </c>
      <c r="E91" s="7" t="s">
        <v>376</v>
      </c>
      <c r="F91" s="10" t="s">
        <v>377</v>
      </c>
      <c r="G91" s="7" t="s">
        <v>474</v>
      </c>
      <c r="H91" s="11" t="str">
        <f>HYPERLINK("evidence/logs/ST-087_logs.txt", "evidence/logs/ST-087_logs.txt")</f>
        <v>evidence/logs/ST-087_logs.txt</v>
      </c>
    </row>
    <row r="92" spans="1:8" ht="40.049999999999997" customHeight="1" x14ac:dyDescent="0.4">
      <c r="A92" s="7" t="s">
        <v>344</v>
      </c>
      <c r="B92" s="10" t="s">
        <v>374</v>
      </c>
      <c r="C92" s="8" t="s">
        <v>27</v>
      </c>
      <c r="D92" s="7" t="s">
        <v>375</v>
      </c>
      <c r="E92" s="7" t="s">
        <v>376</v>
      </c>
      <c r="F92" s="10" t="s">
        <v>377</v>
      </c>
      <c r="G92" s="7" t="s">
        <v>475</v>
      </c>
      <c r="H92" s="11" t="str">
        <f>HYPERLINK("evidence/logs/ST-088_logs.txt", "evidence/logs/ST-088_logs.txt")</f>
        <v>evidence/logs/ST-088_logs.txt</v>
      </c>
    </row>
    <row r="93" spans="1:8" ht="40.049999999999997" customHeight="1" x14ac:dyDescent="0.4">
      <c r="A93" s="7" t="s">
        <v>347</v>
      </c>
      <c r="B93" s="10" t="s">
        <v>374</v>
      </c>
      <c r="C93" s="8" t="s">
        <v>27</v>
      </c>
      <c r="D93" s="7" t="s">
        <v>375</v>
      </c>
      <c r="E93" s="7" t="s">
        <v>376</v>
      </c>
      <c r="F93" s="10" t="s">
        <v>377</v>
      </c>
      <c r="G93" s="7" t="s">
        <v>476</v>
      </c>
      <c r="H93" s="11" t="str">
        <f>HYPERLINK("evidence/logs/ST-089_logs.txt", "evidence/logs/ST-089_logs.txt")</f>
        <v>evidence/logs/ST-089_logs.txt</v>
      </c>
    </row>
    <row r="94" spans="1:8" ht="40.049999999999997" customHeight="1" x14ac:dyDescent="0.4">
      <c r="A94" s="7" t="s">
        <v>349</v>
      </c>
      <c r="B94" s="10" t="s">
        <v>374</v>
      </c>
      <c r="C94" s="8" t="s">
        <v>27</v>
      </c>
      <c r="D94" s="7" t="s">
        <v>375</v>
      </c>
      <c r="E94" s="7" t="s">
        <v>376</v>
      </c>
      <c r="F94" s="10" t="s">
        <v>377</v>
      </c>
      <c r="G94" s="7" t="s">
        <v>477</v>
      </c>
      <c r="H94" s="11" t="str">
        <f>HYPERLINK("evidence/logs/ST-090_logs.txt", "evidence/logs/ST-090_logs.txt")</f>
        <v>evidence/logs/ST-090_logs.txt</v>
      </c>
    </row>
    <row r="95" spans="1:8" ht="40.049999999999997" customHeight="1" x14ac:dyDescent="0.4">
      <c r="A95" s="7" t="s">
        <v>351</v>
      </c>
      <c r="B95" s="10" t="s">
        <v>374</v>
      </c>
      <c r="C95" s="8" t="s">
        <v>27</v>
      </c>
      <c r="D95" s="7" t="s">
        <v>375</v>
      </c>
      <c r="E95" s="7" t="s">
        <v>376</v>
      </c>
      <c r="F95" s="10" t="s">
        <v>377</v>
      </c>
      <c r="G95" s="7" t="s">
        <v>478</v>
      </c>
      <c r="H95" s="11" t="str">
        <f>HYPERLINK("evidence/logs/ST-091_logs.txt", "evidence/logs/ST-091_logs.txt")</f>
        <v>evidence/logs/ST-091_logs.txt</v>
      </c>
    </row>
    <row r="96" spans="1:8" ht="40.049999999999997" customHeight="1" x14ac:dyDescent="0.4">
      <c r="A96" s="7" t="s">
        <v>357</v>
      </c>
      <c r="B96" s="10" t="s">
        <v>374</v>
      </c>
      <c r="C96" s="8" t="s">
        <v>27</v>
      </c>
      <c r="D96" s="7" t="s">
        <v>375</v>
      </c>
      <c r="E96" s="7" t="s">
        <v>376</v>
      </c>
      <c r="F96" s="10" t="s">
        <v>377</v>
      </c>
      <c r="G96" s="7" t="s">
        <v>479</v>
      </c>
      <c r="H96" s="11" t="str">
        <f>HYPERLINK("evidence/logs/ST-092_logs.txt", "evidence/logs/ST-092_logs.txt")</f>
        <v>evidence/logs/ST-092_logs.txt</v>
      </c>
    </row>
    <row r="97" spans="1:8" ht="40.049999999999997" customHeight="1" x14ac:dyDescent="0.4">
      <c r="A97" s="7" t="s">
        <v>360</v>
      </c>
      <c r="B97" s="10" t="s">
        <v>374</v>
      </c>
      <c r="C97" s="8" t="s">
        <v>27</v>
      </c>
      <c r="D97" s="7" t="s">
        <v>375</v>
      </c>
      <c r="E97" s="7" t="s">
        <v>376</v>
      </c>
      <c r="F97" s="10" t="s">
        <v>377</v>
      </c>
      <c r="G97" s="7" t="s">
        <v>480</v>
      </c>
      <c r="H97" s="11" t="str">
        <f>HYPERLINK("evidence/logs/ST-093_logs.txt", "evidence/logs/ST-093_logs.txt")</f>
        <v>evidence/logs/ST-093_logs.txt</v>
      </c>
    </row>
    <row r="98" spans="1:8" ht="40.049999999999997" customHeight="1" x14ac:dyDescent="0.4">
      <c r="A98" s="7" t="s">
        <v>363</v>
      </c>
      <c r="B98" s="10" t="s">
        <v>374</v>
      </c>
      <c r="C98" s="8" t="s">
        <v>27</v>
      </c>
      <c r="D98" s="7" t="s">
        <v>375</v>
      </c>
      <c r="E98" s="7" t="s">
        <v>376</v>
      </c>
      <c r="F98" s="10" t="s">
        <v>377</v>
      </c>
      <c r="G98" s="7" t="s">
        <v>481</v>
      </c>
      <c r="H98" s="11" t="str">
        <f>HYPERLINK("evidence/logs/ST-094_logs.txt", "evidence/logs/ST-094_logs.txt")</f>
        <v>evidence/logs/ST-094_logs.txt</v>
      </c>
    </row>
    <row r="99" spans="1:8" ht="40.049999999999997" customHeight="1" x14ac:dyDescent="0.4">
      <c r="A99" s="7" t="s">
        <v>365</v>
      </c>
      <c r="B99" s="10" t="s">
        <v>374</v>
      </c>
      <c r="C99" s="8" t="s">
        <v>27</v>
      </c>
      <c r="D99" s="7" t="s">
        <v>375</v>
      </c>
      <c r="E99" s="7" t="s">
        <v>376</v>
      </c>
      <c r="F99" s="10" t="s">
        <v>377</v>
      </c>
      <c r="G99" s="7" t="s">
        <v>482</v>
      </c>
      <c r="H99" s="11" t="str">
        <f>HYPERLINK("evidence/logs/ST-095_logs.txt", "evidence/logs/ST-095_logs.txt")</f>
        <v>evidence/logs/ST-095_logs.txt</v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7"/>
  <sheetViews>
    <sheetView workbookViewId="0"/>
  </sheetViews>
  <sheetFormatPr defaultRowHeight="14.4" x14ac:dyDescent="0.3"/>
  <cols>
    <col min="1" max="1" width="12" customWidth="1"/>
    <col min="2" max="2" width="15" customWidth="1"/>
    <col min="3" max="3" width="17" customWidth="1"/>
    <col min="4" max="4" width="32" customWidth="1"/>
    <col min="5" max="7" width="11" customWidth="1"/>
    <col min="8" max="8" width="50" customWidth="1"/>
    <col min="9" max="9" width="14" customWidth="1"/>
    <col min="10" max="10" width="50" customWidth="1"/>
  </cols>
  <sheetData>
    <row r="2" spans="1:10" ht="30" customHeight="1" x14ac:dyDescent="0.3">
      <c r="A2" s="17" t="s">
        <v>483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24" customHeight="1" x14ac:dyDescent="0.4">
      <c r="A4" s="5" t="s">
        <v>484</v>
      </c>
      <c r="B4" s="5" t="s">
        <v>64</v>
      </c>
      <c r="C4" s="5" t="s">
        <v>485</v>
      </c>
      <c r="D4" s="5" t="s">
        <v>47</v>
      </c>
      <c r="E4" s="5" t="s">
        <v>486</v>
      </c>
      <c r="F4" s="5" t="s">
        <v>487</v>
      </c>
      <c r="G4" s="5" t="s">
        <v>22</v>
      </c>
      <c r="H4" s="5" t="s">
        <v>488</v>
      </c>
      <c r="I4" s="5" t="s">
        <v>489</v>
      </c>
      <c r="J4" s="5" t="s">
        <v>371</v>
      </c>
    </row>
    <row r="5" spans="1:10" ht="40.049999999999997" customHeight="1" x14ac:dyDescent="0.4">
      <c r="A5" s="7" t="s">
        <v>490</v>
      </c>
      <c r="B5" s="7" t="s">
        <v>85</v>
      </c>
      <c r="C5" s="7" t="s">
        <v>491</v>
      </c>
      <c r="D5" s="6" t="s">
        <v>492</v>
      </c>
      <c r="E5" s="12" t="s">
        <v>32</v>
      </c>
      <c r="F5" s="7" t="s">
        <v>32</v>
      </c>
      <c r="G5" s="7" t="s">
        <v>493</v>
      </c>
      <c r="H5" s="10" t="s">
        <v>494</v>
      </c>
      <c r="I5" s="7" t="s">
        <v>495</v>
      </c>
      <c r="J5" s="10" t="s">
        <v>496</v>
      </c>
    </row>
    <row r="6" spans="1:10" ht="40.049999999999997" customHeight="1" x14ac:dyDescent="0.4">
      <c r="A6" s="7" t="s">
        <v>497</v>
      </c>
      <c r="B6" s="7" t="s">
        <v>223</v>
      </c>
      <c r="C6" s="7" t="s">
        <v>498</v>
      </c>
      <c r="D6" s="6" t="s">
        <v>198</v>
      </c>
      <c r="E6" s="12" t="s">
        <v>36</v>
      </c>
      <c r="F6" s="7" t="s">
        <v>36</v>
      </c>
      <c r="G6" s="7" t="s">
        <v>493</v>
      </c>
      <c r="H6" s="10" t="s">
        <v>499</v>
      </c>
      <c r="I6" s="7" t="s">
        <v>495</v>
      </c>
      <c r="J6" s="10" t="s">
        <v>500</v>
      </c>
    </row>
    <row r="7" spans="1:10" ht="40.049999999999997" customHeight="1" x14ac:dyDescent="0.4">
      <c r="A7" s="7" t="s">
        <v>501</v>
      </c>
      <c r="B7" s="7" t="s">
        <v>284</v>
      </c>
      <c r="C7" s="7" t="s">
        <v>502</v>
      </c>
      <c r="D7" s="6" t="s">
        <v>273</v>
      </c>
      <c r="E7" s="12" t="s">
        <v>32</v>
      </c>
      <c r="F7" s="7" t="s">
        <v>32</v>
      </c>
      <c r="G7" s="7" t="s">
        <v>493</v>
      </c>
      <c r="H7" s="10" t="s">
        <v>503</v>
      </c>
      <c r="I7" s="7" t="s">
        <v>495</v>
      </c>
      <c r="J7" s="10" t="s">
        <v>504</v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99"/>
  <sheetViews>
    <sheetView workbookViewId="0"/>
  </sheetViews>
  <sheetFormatPr defaultRowHeight="14.4" x14ac:dyDescent="0.3"/>
  <cols>
    <col min="1" max="1" width="17" customWidth="1"/>
    <col min="2" max="2" width="50" customWidth="1"/>
    <col min="3" max="3" width="35" customWidth="1"/>
    <col min="4" max="4" width="15" customWidth="1"/>
    <col min="5" max="5" width="18" customWidth="1"/>
  </cols>
  <sheetData>
    <row r="2" spans="1:5" ht="30" customHeight="1" x14ac:dyDescent="0.3">
      <c r="A2" s="17" t="s">
        <v>505</v>
      </c>
      <c r="B2" s="15"/>
      <c r="C2" s="15"/>
      <c r="D2" s="15"/>
      <c r="E2" s="15"/>
    </row>
    <row r="4" spans="1:5" ht="24" customHeight="1" x14ac:dyDescent="0.4">
      <c r="A4" s="5" t="s">
        <v>485</v>
      </c>
      <c r="B4" s="5" t="s">
        <v>506</v>
      </c>
      <c r="C4" s="5" t="s">
        <v>47</v>
      </c>
      <c r="D4" s="5" t="s">
        <v>64</v>
      </c>
      <c r="E4" s="5" t="s">
        <v>507</v>
      </c>
    </row>
    <row r="5" spans="1:5" ht="50.4" x14ac:dyDescent="0.4">
      <c r="A5" s="7" t="s">
        <v>508</v>
      </c>
      <c r="B5" s="10" t="s">
        <v>509</v>
      </c>
      <c r="C5" s="6" t="s">
        <v>510</v>
      </c>
      <c r="D5" s="7" t="s">
        <v>101</v>
      </c>
      <c r="E5" s="8" t="s">
        <v>511</v>
      </c>
    </row>
    <row r="6" spans="1:5" ht="50.4" x14ac:dyDescent="0.4">
      <c r="A6" s="7" t="s">
        <v>512</v>
      </c>
      <c r="B6" s="10" t="s">
        <v>513</v>
      </c>
      <c r="C6" s="6" t="s">
        <v>510</v>
      </c>
      <c r="D6" s="7" t="s">
        <v>292</v>
      </c>
      <c r="E6" s="8" t="s">
        <v>511</v>
      </c>
    </row>
    <row r="7" spans="1:5" ht="16.8" x14ac:dyDescent="0.4">
      <c r="A7" s="21" t="s">
        <v>514</v>
      </c>
      <c r="B7" s="22" t="s">
        <v>515</v>
      </c>
      <c r="C7" s="18" t="s">
        <v>516</v>
      </c>
      <c r="D7" s="7" t="s">
        <v>136</v>
      </c>
      <c r="E7" s="8" t="s">
        <v>511</v>
      </c>
    </row>
    <row r="8" spans="1:5" ht="16.8" x14ac:dyDescent="0.4">
      <c r="A8" s="19"/>
      <c r="B8" s="19"/>
      <c r="C8" s="19"/>
      <c r="D8" s="7" t="s">
        <v>159</v>
      </c>
      <c r="E8" s="8" t="s">
        <v>511</v>
      </c>
    </row>
    <row r="9" spans="1:5" ht="16.8" x14ac:dyDescent="0.4">
      <c r="A9" s="20"/>
      <c r="B9" s="20"/>
      <c r="C9" s="20"/>
      <c r="D9" s="7" t="s">
        <v>163</v>
      </c>
      <c r="E9" s="8" t="s">
        <v>511</v>
      </c>
    </row>
    <row r="10" spans="1:5" ht="16.8" x14ac:dyDescent="0.4">
      <c r="A10" s="21" t="s">
        <v>517</v>
      </c>
      <c r="B10" s="22" t="s">
        <v>518</v>
      </c>
      <c r="C10" s="18" t="s">
        <v>516</v>
      </c>
      <c r="D10" s="7" t="s">
        <v>142</v>
      </c>
      <c r="E10" s="8" t="s">
        <v>511</v>
      </c>
    </row>
    <row r="11" spans="1:5" ht="16.8" x14ac:dyDescent="0.4">
      <c r="A11" s="20"/>
      <c r="B11" s="20"/>
      <c r="C11" s="20"/>
      <c r="D11" s="7" t="s">
        <v>161</v>
      </c>
      <c r="E11" s="8" t="s">
        <v>511</v>
      </c>
    </row>
    <row r="12" spans="1:5" ht="16.8" x14ac:dyDescent="0.4">
      <c r="A12" s="21" t="s">
        <v>519</v>
      </c>
      <c r="B12" s="22" t="s">
        <v>520</v>
      </c>
      <c r="C12" s="18" t="s">
        <v>492</v>
      </c>
      <c r="D12" s="7" t="s">
        <v>69</v>
      </c>
      <c r="E12" s="8" t="s">
        <v>511</v>
      </c>
    </row>
    <row r="13" spans="1:5" ht="16.8" x14ac:dyDescent="0.4">
      <c r="A13" s="19"/>
      <c r="B13" s="19"/>
      <c r="C13" s="19"/>
      <c r="D13" s="7" t="s">
        <v>94</v>
      </c>
      <c r="E13" s="8" t="s">
        <v>511</v>
      </c>
    </row>
    <row r="14" spans="1:5" ht="16.8" x14ac:dyDescent="0.4">
      <c r="A14" s="20"/>
      <c r="B14" s="20"/>
      <c r="C14" s="20"/>
      <c r="D14" s="7" t="s">
        <v>97</v>
      </c>
      <c r="E14" s="8" t="s">
        <v>511</v>
      </c>
    </row>
    <row r="15" spans="1:5" ht="16.8" x14ac:dyDescent="0.4">
      <c r="A15" s="21" t="s">
        <v>491</v>
      </c>
      <c r="B15" s="22" t="s">
        <v>521</v>
      </c>
      <c r="C15" s="18" t="s">
        <v>492</v>
      </c>
      <c r="D15" s="7" t="s">
        <v>75</v>
      </c>
      <c r="E15" s="8" t="s">
        <v>511</v>
      </c>
    </row>
    <row r="16" spans="1:5" ht="16.8" x14ac:dyDescent="0.4">
      <c r="A16" s="19"/>
      <c r="B16" s="19"/>
      <c r="C16" s="19"/>
      <c r="D16" s="7" t="s">
        <v>80</v>
      </c>
      <c r="E16" s="8" t="s">
        <v>511</v>
      </c>
    </row>
    <row r="17" spans="1:5" ht="16.8" x14ac:dyDescent="0.4">
      <c r="A17" s="19"/>
      <c r="B17" s="19"/>
      <c r="C17" s="19"/>
      <c r="D17" s="7" t="s">
        <v>85</v>
      </c>
      <c r="E17" s="8" t="s">
        <v>511</v>
      </c>
    </row>
    <row r="18" spans="1:5" ht="16.8" x14ac:dyDescent="0.4">
      <c r="A18" s="20"/>
      <c r="B18" s="20"/>
      <c r="C18" s="20"/>
      <c r="D18" s="7" t="s">
        <v>99</v>
      </c>
      <c r="E18" s="8" t="s">
        <v>511</v>
      </c>
    </row>
    <row r="19" spans="1:5" ht="33.6" x14ac:dyDescent="0.4">
      <c r="A19" s="7" t="s">
        <v>522</v>
      </c>
      <c r="B19" s="10" t="s">
        <v>523</v>
      </c>
      <c r="C19" s="6" t="s">
        <v>492</v>
      </c>
      <c r="D19" s="7" t="s">
        <v>89</v>
      </c>
      <c r="E19" s="8" t="s">
        <v>511</v>
      </c>
    </row>
    <row r="20" spans="1:5" ht="16.8" x14ac:dyDescent="0.4">
      <c r="A20" s="21" t="s">
        <v>524</v>
      </c>
      <c r="B20" s="22" t="s">
        <v>525</v>
      </c>
      <c r="C20" s="18" t="s">
        <v>228</v>
      </c>
      <c r="D20" s="7" t="s">
        <v>227</v>
      </c>
      <c r="E20" s="8" t="s">
        <v>511</v>
      </c>
    </row>
    <row r="21" spans="1:5" ht="16.8" x14ac:dyDescent="0.4">
      <c r="A21" s="20"/>
      <c r="B21" s="20"/>
      <c r="C21" s="20"/>
      <c r="D21" s="7" t="s">
        <v>233</v>
      </c>
      <c r="E21" s="8" t="s">
        <v>511</v>
      </c>
    </row>
    <row r="22" spans="1:5" ht="16.8" x14ac:dyDescent="0.4">
      <c r="A22" s="21" t="s">
        <v>526</v>
      </c>
      <c r="B22" s="22" t="s">
        <v>527</v>
      </c>
      <c r="C22" s="18" t="s">
        <v>228</v>
      </c>
      <c r="D22" s="7" t="s">
        <v>235</v>
      </c>
      <c r="E22" s="8" t="s">
        <v>511</v>
      </c>
    </row>
    <row r="23" spans="1:5" ht="16.8" x14ac:dyDescent="0.4">
      <c r="A23" s="19"/>
      <c r="B23" s="19"/>
      <c r="C23" s="19"/>
      <c r="D23" s="7" t="s">
        <v>240</v>
      </c>
      <c r="E23" s="8" t="s">
        <v>511</v>
      </c>
    </row>
    <row r="24" spans="1:5" ht="16.8" x14ac:dyDescent="0.4">
      <c r="A24" s="20"/>
      <c r="B24" s="20"/>
      <c r="C24" s="20"/>
      <c r="D24" s="7" t="s">
        <v>244</v>
      </c>
      <c r="E24" s="8" t="s">
        <v>511</v>
      </c>
    </row>
    <row r="25" spans="1:5" ht="33.6" x14ac:dyDescent="0.4">
      <c r="A25" s="7" t="s">
        <v>528</v>
      </c>
      <c r="B25" s="10" t="s">
        <v>529</v>
      </c>
      <c r="C25" s="6" t="s">
        <v>530</v>
      </c>
      <c r="D25" s="7" t="s">
        <v>365</v>
      </c>
      <c r="E25" s="8" t="s">
        <v>511</v>
      </c>
    </row>
    <row r="26" spans="1:5" ht="50.4" x14ac:dyDescent="0.4">
      <c r="A26" s="7" t="s">
        <v>531</v>
      </c>
      <c r="B26" s="10" t="s">
        <v>532</v>
      </c>
      <c r="C26" s="6" t="s">
        <v>530</v>
      </c>
      <c r="D26" s="7" t="s">
        <v>132</v>
      </c>
      <c r="E26" s="8" t="s">
        <v>511</v>
      </c>
    </row>
    <row r="27" spans="1:5" ht="50.4" x14ac:dyDescent="0.4">
      <c r="A27" s="7" t="s">
        <v>533</v>
      </c>
      <c r="B27" s="10" t="s">
        <v>534</v>
      </c>
      <c r="C27" s="6" t="s">
        <v>535</v>
      </c>
      <c r="D27" s="7" t="s">
        <v>278</v>
      </c>
      <c r="E27" s="8" t="s">
        <v>511</v>
      </c>
    </row>
    <row r="28" spans="1:5" ht="33.6" x14ac:dyDescent="0.4">
      <c r="A28" s="7" t="s">
        <v>536</v>
      </c>
      <c r="B28" s="10" t="s">
        <v>537</v>
      </c>
      <c r="C28" s="6" t="s">
        <v>535</v>
      </c>
      <c r="D28" s="7" t="s">
        <v>195</v>
      </c>
      <c r="E28" s="8" t="s">
        <v>511</v>
      </c>
    </row>
    <row r="29" spans="1:5" ht="16.8" x14ac:dyDescent="0.4">
      <c r="A29" s="21" t="s">
        <v>538</v>
      </c>
      <c r="B29" s="22" t="s">
        <v>539</v>
      </c>
      <c r="C29" s="18" t="s">
        <v>106</v>
      </c>
      <c r="D29" s="7" t="s">
        <v>105</v>
      </c>
      <c r="E29" s="8" t="s">
        <v>511</v>
      </c>
    </row>
    <row r="30" spans="1:5" ht="16.8" x14ac:dyDescent="0.4">
      <c r="A30" s="19"/>
      <c r="B30" s="19"/>
      <c r="C30" s="19"/>
      <c r="D30" s="7" t="s">
        <v>111</v>
      </c>
      <c r="E30" s="8" t="s">
        <v>511</v>
      </c>
    </row>
    <row r="31" spans="1:5" ht="16.8" x14ac:dyDescent="0.4">
      <c r="A31" s="19"/>
      <c r="B31" s="19"/>
      <c r="C31" s="19"/>
      <c r="D31" s="7" t="s">
        <v>128</v>
      </c>
      <c r="E31" s="8" t="s">
        <v>511</v>
      </c>
    </row>
    <row r="32" spans="1:5" ht="16.8" x14ac:dyDescent="0.4">
      <c r="A32" s="19"/>
      <c r="B32" s="19"/>
      <c r="C32" s="19"/>
      <c r="D32" s="7" t="s">
        <v>130</v>
      </c>
      <c r="E32" s="8" t="s">
        <v>511</v>
      </c>
    </row>
    <row r="33" spans="1:5" ht="16.8" x14ac:dyDescent="0.4">
      <c r="A33" s="20"/>
      <c r="B33" s="20"/>
      <c r="C33" s="20"/>
      <c r="D33" s="7" t="s">
        <v>134</v>
      </c>
      <c r="E33" s="8" t="s">
        <v>511</v>
      </c>
    </row>
    <row r="34" spans="1:5" ht="33.6" x14ac:dyDescent="0.4">
      <c r="A34" s="7" t="s">
        <v>540</v>
      </c>
      <c r="B34" s="10" t="s">
        <v>541</v>
      </c>
      <c r="C34" s="6" t="s">
        <v>106</v>
      </c>
      <c r="D34" s="7" t="s">
        <v>114</v>
      </c>
      <c r="E34" s="8" t="s">
        <v>511</v>
      </c>
    </row>
    <row r="35" spans="1:5" ht="16.8" x14ac:dyDescent="0.4">
      <c r="A35" s="21" t="s">
        <v>542</v>
      </c>
      <c r="B35" s="22" t="s">
        <v>543</v>
      </c>
      <c r="C35" s="18" t="s">
        <v>106</v>
      </c>
      <c r="D35" s="7" t="s">
        <v>119</v>
      </c>
      <c r="E35" s="8" t="s">
        <v>511</v>
      </c>
    </row>
    <row r="36" spans="1:5" ht="16.8" x14ac:dyDescent="0.4">
      <c r="A36" s="19"/>
      <c r="B36" s="19"/>
      <c r="C36" s="19"/>
      <c r="D36" s="7" t="s">
        <v>121</v>
      </c>
      <c r="E36" s="8" t="s">
        <v>511</v>
      </c>
    </row>
    <row r="37" spans="1:5" ht="16.8" x14ac:dyDescent="0.4">
      <c r="A37" s="19"/>
      <c r="B37" s="19"/>
      <c r="C37" s="19"/>
      <c r="D37" s="7" t="s">
        <v>126</v>
      </c>
      <c r="E37" s="8" t="s">
        <v>511</v>
      </c>
    </row>
    <row r="38" spans="1:5" ht="16.8" x14ac:dyDescent="0.4">
      <c r="A38" s="20"/>
      <c r="B38" s="20"/>
      <c r="C38" s="20"/>
      <c r="D38" s="7" t="s">
        <v>363</v>
      </c>
      <c r="E38" s="8" t="s">
        <v>511</v>
      </c>
    </row>
    <row r="39" spans="1:5" ht="16.8" x14ac:dyDescent="0.4">
      <c r="A39" s="21" t="s">
        <v>544</v>
      </c>
      <c r="B39" s="22" t="s">
        <v>545</v>
      </c>
      <c r="C39" s="18" t="s">
        <v>168</v>
      </c>
      <c r="D39" s="7" t="s">
        <v>167</v>
      </c>
      <c r="E39" s="8" t="s">
        <v>511</v>
      </c>
    </row>
    <row r="40" spans="1:5" ht="16.8" x14ac:dyDescent="0.4">
      <c r="A40" s="19"/>
      <c r="B40" s="19"/>
      <c r="C40" s="19"/>
      <c r="D40" s="7" t="s">
        <v>173</v>
      </c>
      <c r="E40" s="8" t="s">
        <v>511</v>
      </c>
    </row>
    <row r="41" spans="1:5" ht="16.8" x14ac:dyDescent="0.4">
      <c r="A41" s="19"/>
      <c r="B41" s="19"/>
      <c r="C41" s="19"/>
      <c r="D41" s="7" t="s">
        <v>175</v>
      </c>
      <c r="E41" s="8" t="s">
        <v>511</v>
      </c>
    </row>
    <row r="42" spans="1:5" ht="16.8" x14ac:dyDescent="0.4">
      <c r="A42" s="19"/>
      <c r="B42" s="19"/>
      <c r="C42" s="19"/>
      <c r="D42" s="7" t="s">
        <v>179</v>
      </c>
      <c r="E42" s="8" t="s">
        <v>511</v>
      </c>
    </row>
    <row r="43" spans="1:5" ht="16.8" x14ac:dyDescent="0.4">
      <c r="A43" s="20"/>
      <c r="B43" s="20"/>
      <c r="C43" s="20"/>
      <c r="D43" s="7" t="s">
        <v>181</v>
      </c>
      <c r="E43" s="8" t="s">
        <v>511</v>
      </c>
    </row>
    <row r="44" spans="1:5" ht="16.8" x14ac:dyDescent="0.4">
      <c r="A44" s="21" t="s">
        <v>546</v>
      </c>
      <c r="B44" s="22" t="s">
        <v>547</v>
      </c>
      <c r="C44" s="18" t="s">
        <v>168</v>
      </c>
      <c r="D44" s="7" t="s">
        <v>177</v>
      </c>
      <c r="E44" s="8" t="s">
        <v>511</v>
      </c>
    </row>
    <row r="45" spans="1:5" ht="16.8" x14ac:dyDescent="0.4">
      <c r="A45" s="20"/>
      <c r="B45" s="20"/>
      <c r="C45" s="20"/>
      <c r="D45" s="7" t="s">
        <v>183</v>
      </c>
      <c r="E45" s="8" t="s">
        <v>511</v>
      </c>
    </row>
    <row r="46" spans="1:5" ht="50.4" x14ac:dyDescent="0.4">
      <c r="A46" s="7" t="s">
        <v>548</v>
      </c>
      <c r="B46" s="10" t="s">
        <v>549</v>
      </c>
      <c r="C46" s="6" t="s">
        <v>550</v>
      </c>
      <c r="D46" s="7" t="s">
        <v>185</v>
      </c>
      <c r="E46" s="8" t="s">
        <v>511</v>
      </c>
    </row>
    <row r="47" spans="1:5" ht="33.6" x14ac:dyDescent="0.4">
      <c r="A47" s="7" t="s">
        <v>551</v>
      </c>
      <c r="B47" s="10" t="s">
        <v>552</v>
      </c>
      <c r="C47" s="6" t="s">
        <v>550</v>
      </c>
      <c r="D47" s="7" t="s">
        <v>190</v>
      </c>
      <c r="E47" s="8" t="s">
        <v>511</v>
      </c>
    </row>
    <row r="48" spans="1:5" ht="16.8" x14ac:dyDescent="0.4">
      <c r="A48" s="21" t="s">
        <v>553</v>
      </c>
      <c r="B48" s="22" t="s">
        <v>554</v>
      </c>
      <c r="C48" s="18" t="s">
        <v>555</v>
      </c>
      <c r="D48" s="7" t="s">
        <v>147</v>
      </c>
      <c r="E48" s="8" t="s">
        <v>511</v>
      </c>
    </row>
    <row r="49" spans="1:5" ht="16.8" x14ac:dyDescent="0.4">
      <c r="A49" s="19"/>
      <c r="B49" s="19"/>
      <c r="C49" s="19"/>
      <c r="D49" s="7" t="s">
        <v>155</v>
      </c>
      <c r="E49" s="8" t="s">
        <v>511</v>
      </c>
    </row>
    <row r="50" spans="1:5" ht="16.8" x14ac:dyDescent="0.4">
      <c r="A50" s="20"/>
      <c r="B50" s="20"/>
      <c r="C50" s="20"/>
      <c r="D50" s="7" t="s">
        <v>157</v>
      </c>
      <c r="E50" s="8" t="s">
        <v>511</v>
      </c>
    </row>
    <row r="51" spans="1:5" ht="50.4" x14ac:dyDescent="0.4">
      <c r="A51" s="7" t="s">
        <v>556</v>
      </c>
      <c r="B51" s="10" t="s">
        <v>557</v>
      </c>
      <c r="C51" s="6" t="s">
        <v>555</v>
      </c>
      <c r="D51" s="7" t="s">
        <v>151</v>
      </c>
      <c r="E51" s="8" t="s">
        <v>511</v>
      </c>
    </row>
    <row r="52" spans="1:5" ht="16.8" x14ac:dyDescent="0.4">
      <c r="A52" s="21" t="s">
        <v>558</v>
      </c>
      <c r="B52" s="22" t="s">
        <v>559</v>
      </c>
      <c r="C52" s="18" t="s">
        <v>319</v>
      </c>
      <c r="D52" s="7" t="s">
        <v>318</v>
      </c>
      <c r="E52" s="8" t="s">
        <v>511</v>
      </c>
    </row>
    <row r="53" spans="1:5" ht="16.8" x14ac:dyDescent="0.4">
      <c r="A53" s="19"/>
      <c r="B53" s="19"/>
      <c r="C53" s="19"/>
      <c r="D53" s="7" t="s">
        <v>327</v>
      </c>
      <c r="E53" s="8" t="s">
        <v>511</v>
      </c>
    </row>
    <row r="54" spans="1:5" ht="16.8" x14ac:dyDescent="0.4">
      <c r="A54" s="20"/>
      <c r="B54" s="20"/>
      <c r="C54" s="20"/>
      <c r="D54" s="7" t="s">
        <v>331</v>
      </c>
      <c r="E54" s="8" t="s">
        <v>511</v>
      </c>
    </row>
    <row r="55" spans="1:5" ht="16.8" x14ac:dyDescent="0.4">
      <c r="A55" s="21" t="s">
        <v>560</v>
      </c>
      <c r="B55" s="22" t="s">
        <v>561</v>
      </c>
      <c r="C55" s="18" t="s">
        <v>319</v>
      </c>
      <c r="D55" s="7" t="s">
        <v>296</v>
      </c>
      <c r="E55" s="8" t="s">
        <v>511</v>
      </c>
    </row>
    <row r="56" spans="1:5" ht="16.8" x14ac:dyDescent="0.4">
      <c r="A56" s="19"/>
      <c r="B56" s="19"/>
      <c r="C56" s="19"/>
      <c r="D56" s="7" t="s">
        <v>324</v>
      </c>
      <c r="E56" s="8" t="s">
        <v>511</v>
      </c>
    </row>
    <row r="57" spans="1:5" ht="16.8" x14ac:dyDescent="0.4">
      <c r="A57" s="20"/>
      <c r="B57" s="20"/>
      <c r="C57" s="20"/>
      <c r="D57" s="7" t="s">
        <v>333</v>
      </c>
      <c r="E57" s="8" t="s">
        <v>511</v>
      </c>
    </row>
    <row r="58" spans="1:5" ht="16.8" x14ac:dyDescent="0.4">
      <c r="A58" s="21" t="s">
        <v>562</v>
      </c>
      <c r="B58" s="22" t="s">
        <v>563</v>
      </c>
      <c r="C58" s="18" t="s">
        <v>198</v>
      </c>
      <c r="D58" s="7" t="s">
        <v>197</v>
      </c>
      <c r="E58" s="8" t="s">
        <v>511</v>
      </c>
    </row>
    <row r="59" spans="1:5" ht="16.8" x14ac:dyDescent="0.4">
      <c r="A59" s="19"/>
      <c r="B59" s="19"/>
      <c r="C59" s="19"/>
      <c r="D59" s="7" t="s">
        <v>203</v>
      </c>
      <c r="E59" s="8" t="s">
        <v>511</v>
      </c>
    </row>
    <row r="60" spans="1:5" ht="16.8" x14ac:dyDescent="0.4">
      <c r="A60" s="19"/>
      <c r="B60" s="19"/>
      <c r="C60" s="19"/>
      <c r="D60" s="7" t="s">
        <v>205</v>
      </c>
      <c r="E60" s="8" t="s">
        <v>511</v>
      </c>
    </row>
    <row r="61" spans="1:5" ht="16.8" x14ac:dyDescent="0.4">
      <c r="A61" s="20"/>
      <c r="B61" s="20"/>
      <c r="C61" s="20"/>
      <c r="D61" s="7" t="s">
        <v>207</v>
      </c>
      <c r="E61" s="8" t="s">
        <v>511</v>
      </c>
    </row>
    <row r="62" spans="1:5" ht="16.8" x14ac:dyDescent="0.4">
      <c r="A62" s="21" t="s">
        <v>498</v>
      </c>
      <c r="B62" s="22" t="s">
        <v>564</v>
      </c>
      <c r="C62" s="18" t="s">
        <v>198</v>
      </c>
      <c r="D62" s="7" t="s">
        <v>209</v>
      </c>
      <c r="E62" s="8" t="s">
        <v>511</v>
      </c>
    </row>
    <row r="63" spans="1:5" ht="16.8" x14ac:dyDescent="0.4">
      <c r="A63" s="19"/>
      <c r="B63" s="19"/>
      <c r="C63" s="19"/>
      <c r="D63" s="7" t="s">
        <v>213</v>
      </c>
      <c r="E63" s="8" t="s">
        <v>511</v>
      </c>
    </row>
    <row r="64" spans="1:5" ht="16.8" x14ac:dyDescent="0.4">
      <c r="A64" s="19"/>
      <c r="B64" s="19"/>
      <c r="C64" s="19"/>
      <c r="D64" s="7" t="s">
        <v>217</v>
      </c>
      <c r="E64" s="8" t="s">
        <v>511</v>
      </c>
    </row>
    <row r="65" spans="1:5" ht="16.8" x14ac:dyDescent="0.4">
      <c r="A65" s="19"/>
      <c r="B65" s="19"/>
      <c r="C65" s="19"/>
      <c r="D65" s="7" t="s">
        <v>219</v>
      </c>
      <c r="E65" s="8" t="s">
        <v>511</v>
      </c>
    </row>
    <row r="66" spans="1:5" ht="16.8" x14ac:dyDescent="0.4">
      <c r="A66" s="19"/>
      <c r="B66" s="19"/>
      <c r="C66" s="19"/>
      <c r="D66" s="7" t="s">
        <v>221</v>
      </c>
      <c r="E66" s="8" t="s">
        <v>511</v>
      </c>
    </row>
    <row r="67" spans="1:5" ht="16.8" x14ac:dyDescent="0.4">
      <c r="A67" s="20"/>
      <c r="B67" s="20"/>
      <c r="C67" s="20"/>
      <c r="D67" s="7" t="s">
        <v>223</v>
      </c>
      <c r="E67" s="8" t="s">
        <v>511</v>
      </c>
    </row>
    <row r="68" spans="1:5" ht="16.8" x14ac:dyDescent="0.4">
      <c r="A68" s="21" t="s">
        <v>565</v>
      </c>
      <c r="B68" s="22" t="s">
        <v>566</v>
      </c>
      <c r="C68" s="18" t="s">
        <v>336</v>
      </c>
      <c r="D68" s="7" t="s">
        <v>335</v>
      </c>
      <c r="E68" s="8" t="s">
        <v>511</v>
      </c>
    </row>
    <row r="69" spans="1:5" ht="16.8" x14ac:dyDescent="0.4">
      <c r="A69" s="19"/>
      <c r="B69" s="19"/>
      <c r="C69" s="19"/>
      <c r="D69" s="7" t="s">
        <v>341</v>
      </c>
      <c r="E69" s="8" t="s">
        <v>511</v>
      </c>
    </row>
    <row r="70" spans="1:5" ht="16.8" x14ac:dyDescent="0.4">
      <c r="A70" s="19"/>
      <c r="B70" s="19"/>
      <c r="C70" s="19"/>
      <c r="D70" s="7" t="s">
        <v>351</v>
      </c>
      <c r="E70" s="8" t="s">
        <v>511</v>
      </c>
    </row>
    <row r="71" spans="1:5" ht="16.8" x14ac:dyDescent="0.4">
      <c r="A71" s="20"/>
      <c r="B71" s="20"/>
      <c r="C71" s="20"/>
      <c r="D71" s="7" t="s">
        <v>357</v>
      </c>
      <c r="E71" s="8" t="s">
        <v>511</v>
      </c>
    </row>
    <row r="72" spans="1:5" ht="16.8" x14ac:dyDescent="0.4">
      <c r="A72" s="21" t="s">
        <v>567</v>
      </c>
      <c r="B72" s="22" t="s">
        <v>568</v>
      </c>
      <c r="C72" s="18" t="s">
        <v>336</v>
      </c>
      <c r="D72" s="7" t="s">
        <v>344</v>
      </c>
      <c r="E72" s="8" t="s">
        <v>511</v>
      </c>
    </row>
    <row r="73" spans="1:5" ht="16.8" x14ac:dyDescent="0.4">
      <c r="A73" s="19"/>
      <c r="B73" s="19"/>
      <c r="C73" s="19"/>
      <c r="D73" s="7" t="s">
        <v>347</v>
      </c>
      <c r="E73" s="8" t="s">
        <v>511</v>
      </c>
    </row>
    <row r="74" spans="1:5" ht="16.8" x14ac:dyDescent="0.4">
      <c r="A74" s="19"/>
      <c r="B74" s="19"/>
      <c r="C74" s="19"/>
      <c r="D74" s="7" t="s">
        <v>349</v>
      </c>
      <c r="E74" s="8" t="s">
        <v>511</v>
      </c>
    </row>
    <row r="75" spans="1:5" ht="16.8" x14ac:dyDescent="0.4">
      <c r="A75" s="20"/>
      <c r="B75" s="20"/>
      <c r="C75" s="20"/>
      <c r="D75" s="7" t="s">
        <v>360</v>
      </c>
      <c r="E75" s="8" t="s">
        <v>511</v>
      </c>
    </row>
    <row r="76" spans="1:5" ht="16.8" x14ac:dyDescent="0.4">
      <c r="A76" s="21" t="s">
        <v>569</v>
      </c>
      <c r="B76" s="22" t="s">
        <v>570</v>
      </c>
      <c r="C76" s="18" t="s">
        <v>301</v>
      </c>
      <c r="D76" s="7" t="s">
        <v>300</v>
      </c>
      <c r="E76" s="8" t="s">
        <v>511</v>
      </c>
    </row>
    <row r="77" spans="1:5" ht="16.8" x14ac:dyDescent="0.4">
      <c r="A77" s="19"/>
      <c r="B77" s="19"/>
      <c r="C77" s="19"/>
      <c r="D77" s="7" t="s">
        <v>306</v>
      </c>
      <c r="E77" s="8" t="s">
        <v>511</v>
      </c>
    </row>
    <row r="78" spans="1:5" ht="16.8" x14ac:dyDescent="0.4">
      <c r="A78" s="19"/>
      <c r="B78" s="19"/>
      <c r="C78" s="19"/>
      <c r="D78" s="7" t="s">
        <v>310</v>
      </c>
      <c r="E78" s="8" t="s">
        <v>511</v>
      </c>
    </row>
    <row r="79" spans="1:5" ht="16.8" x14ac:dyDescent="0.4">
      <c r="A79" s="20"/>
      <c r="B79" s="20"/>
      <c r="C79" s="20"/>
      <c r="D79" s="7" t="s">
        <v>316</v>
      </c>
      <c r="E79" s="8" t="s">
        <v>511</v>
      </c>
    </row>
    <row r="80" spans="1:5" ht="50.4" x14ac:dyDescent="0.4">
      <c r="A80" s="7" t="s">
        <v>571</v>
      </c>
      <c r="B80" s="10" t="s">
        <v>572</v>
      </c>
      <c r="C80" s="6" t="s">
        <v>301</v>
      </c>
      <c r="D80" s="7" t="s">
        <v>312</v>
      </c>
      <c r="E80" s="8" t="s">
        <v>511</v>
      </c>
    </row>
    <row r="81" spans="1:5" ht="33.6" x14ac:dyDescent="0.4">
      <c r="A81" s="7" t="s">
        <v>573</v>
      </c>
      <c r="B81" s="10" t="s">
        <v>574</v>
      </c>
      <c r="C81" s="6" t="s">
        <v>575</v>
      </c>
      <c r="D81" s="7" t="s">
        <v>103</v>
      </c>
      <c r="E81" s="8" t="s">
        <v>511</v>
      </c>
    </row>
    <row r="82" spans="1:5" ht="16.8" x14ac:dyDescent="0.4">
      <c r="A82" s="21" t="s">
        <v>576</v>
      </c>
      <c r="B82" s="22" t="s">
        <v>577</v>
      </c>
      <c r="C82" s="18" t="s">
        <v>247</v>
      </c>
      <c r="D82" s="7" t="s">
        <v>165</v>
      </c>
      <c r="E82" s="8" t="s">
        <v>511</v>
      </c>
    </row>
    <row r="83" spans="1:5" ht="16.8" x14ac:dyDescent="0.4">
      <c r="A83" s="19"/>
      <c r="B83" s="19"/>
      <c r="C83" s="19"/>
      <c r="D83" s="7" t="s">
        <v>246</v>
      </c>
      <c r="E83" s="8" t="s">
        <v>511</v>
      </c>
    </row>
    <row r="84" spans="1:5" ht="16.8" x14ac:dyDescent="0.4">
      <c r="A84" s="19"/>
      <c r="B84" s="19"/>
      <c r="C84" s="19"/>
      <c r="D84" s="7" t="s">
        <v>252</v>
      </c>
      <c r="E84" s="8" t="s">
        <v>511</v>
      </c>
    </row>
    <row r="85" spans="1:5" ht="16.8" x14ac:dyDescent="0.4">
      <c r="A85" s="19"/>
      <c r="B85" s="19"/>
      <c r="C85" s="19"/>
      <c r="D85" s="7" t="s">
        <v>255</v>
      </c>
      <c r="E85" s="8" t="s">
        <v>511</v>
      </c>
    </row>
    <row r="86" spans="1:5" ht="16.8" x14ac:dyDescent="0.4">
      <c r="A86" s="19"/>
      <c r="B86" s="19"/>
      <c r="C86" s="19"/>
      <c r="D86" s="7" t="s">
        <v>258</v>
      </c>
      <c r="E86" s="8" t="s">
        <v>511</v>
      </c>
    </row>
    <row r="87" spans="1:5" ht="16.8" x14ac:dyDescent="0.4">
      <c r="A87" s="19"/>
      <c r="B87" s="19"/>
      <c r="C87" s="19"/>
      <c r="D87" s="7" t="s">
        <v>260</v>
      </c>
      <c r="E87" s="8" t="s">
        <v>511</v>
      </c>
    </row>
    <row r="88" spans="1:5" ht="16.8" x14ac:dyDescent="0.4">
      <c r="A88" s="19"/>
      <c r="B88" s="19"/>
      <c r="C88" s="19"/>
      <c r="D88" s="7" t="s">
        <v>262</v>
      </c>
      <c r="E88" s="8" t="s">
        <v>511</v>
      </c>
    </row>
    <row r="89" spans="1:5" ht="16.8" x14ac:dyDescent="0.4">
      <c r="A89" s="19"/>
      <c r="B89" s="19"/>
      <c r="C89" s="19"/>
      <c r="D89" s="7" t="s">
        <v>264</v>
      </c>
      <c r="E89" s="8" t="s">
        <v>511</v>
      </c>
    </row>
    <row r="90" spans="1:5" ht="16.8" x14ac:dyDescent="0.4">
      <c r="A90" s="19"/>
      <c r="B90" s="19"/>
      <c r="C90" s="19"/>
      <c r="D90" s="7" t="s">
        <v>266</v>
      </c>
      <c r="E90" s="8" t="s">
        <v>511</v>
      </c>
    </row>
    <row r="91" spans="1:5" ht="16.8" x14ac:dyDescent="0.4">
      <c r="A91" s="20"/>
      <c r="B91" s="20"/>
      <c r="C91" s="20"/>
      <c r="D91" s="7" t="s">
        <v>268</v>
      </c>
      <c r="E91" s="8" t="s">
        <v>511</v>
      </c>
    </row>
    <row r="92" spans="1:5" ht="50.4" x14ac:dyDescent="0.4">
      <c r="A92" s="7" t="s">
        <v>578</v>
      </c>
      <c r="B92" s="10" t="s">
        <v>579</v>
      </c>
      <c r="C92" s="6" t="s">
        <v>247</v>
      </c>
      <c r="D92" s="7" t="s">
        <v>270</v>
      </c>
      <c r="E92" s="8" t="s">
        <v>511</v>
      </c>
    </row>
    <row r="93" spans="1:5" ht="16.8" x14ac:dyDescent="0.4">
      <c r="A93" s="21" t="s">
        <v>580</v>
      </c>
      <c r="B93" s="22" t="s">
        <v>581</v>
      </c>
      <c r="C93" s="18" t="s">
        <v>273</v>
      </c>
      <c r="D93" s="7" t="s">
        <v>272</v>
      </c>
      <c r="E93" s="8" t="s">
        <v>511</v>
      </c>
    </row>
    <row r="94" spans="1:5" ht="16.8" x14ac:dyDescent="0.4">
      <c r="A94" s="20"/>
      <c r="B94" s="20"/>
      <c r="C94" s="20"/>
      <c r="D94" s="7" t="s">
        <v>280</v>
      </c>
      <c r="E94" s="8" t="s">
        <v>511</v>
      </c>
    </row>
    <row r="95" spans="1:5" ht="16.8" x14ac:dyDescent="0.4">
      <c r="A95" s="21" t="s">
        <v>502</v>
      </c>
      <c r="B95" s="22" t="s">
        <v>582</v>
      </c>
      <c r="C95" s="18" t="s">
        <v>273</v>
      </c>
      <c r="D95" s="7" t="s">
        <v>282</v>
      </c>
      <c r="E95" s="8" t="s">
        <v>511</v>
      </c>
    </row>
    <row r="96" spans="1:5" ht="16.8" x14ac:dyDescent="0.4">
      <c r="A96" s="19"/>
      <c r="B96" s="19"/>
      <c r="C96" s="19"/>
      <c r="D96" s="7" t="s">
        <v>284</v>
      </c>
      <c r="E96" s="8" t="s">
        <v>511</v>
      </c>
    </row>
    <row r="97" spans="1:5" ht="16.8" x14ac:dyDescent="0.4">
      <c r="A97" s="19"/>
      <c r="B97" s="19"/>
      <c r="C97" s="19"/>
      <c r="D97" s="7" t="s">
        <v>288</v>
      </c>
      <c r="E97" s="8" t="s">
        <v>511</v>
      </c>
    </row>
    <row r="98" spans="1:5" ht="16.8" x14ac:dyDescent="0.4">
      <c r="A98" s="19"/>
      <c r="B98" s="19"/>
      <c r="C98" s="19"/>
      <c r="D98" s="7" t="s">
        <v>294</v>
      </c>
      <c r="E98" s="8" t="s">
        <v>511</v>
      </c>
    </row>
    <row r="99" spans="1:5" ht="16.8" x14ac:dyDescent="0.4">
      <c r="A99" s="20"/>
      <c r="B99" s="20"/>
      <c r="C99" s="20"/>
      <c r="D99" s="7" t="s">
        <v>298</v>
      </c>
      <c r="E99" s="8" t="s">
        <v>511</v>
      </c>
    </row>
  </sheetData>
  <mergeCells count="64">
    <mergeCell ref="A2:E2"/>
    <mergeCell ref="B12:B14"/>
    <mergeCell ref="B52:B54"/>
    <mergeCell ref="B68:B71"/>
    <mergeCell ref="A20:A21"/>
    <mergeCell ref="A58:A61"/>
    <mergeCell ref="B15:B18"/>
    <mergeCell ref="B20:B21"/>
    <mergeCell ref="A10:A11"/>
    <mergeCell ref="A44:A45"/>
    <mergeCell ref="B39:B43"/>
    <mergeCell ref="A7:A9"/>
    <mergeCell ref="C29:C33"/>
    <mergeCell ref="B48:B50"/>
    <mergeCell ref="C52:C54"/>
    <mergeCell ref="A55:A57"/>
    <mergeCell ref="C7:C9"/>
    <mergeCell ref="A29:A33"/>
    <mergeCell ref="A52:A54"/>
    <mergeCell ref="B95:B99"/>
    <mergeCell ref="A82:A91"/>
    <mergeCell ref="B58:B61"/>
    <mergeCell ref="C93:C94"/>
    <mergeCell ref="B7:B9"/>
    <mergeCell ref="B10:B11"/>
    <mergeCell ref="B22:B24"/>
    <mergeCell ref="B44:B45"/>
    <mergeCell ref="A76:A79"/>
    <mergeCell ref="C76:C79"/>
    <mergeCell ref="A48:A50"/>
    <mergeCell ref="A39:A43"/>
    <mergeCell ref="A72:A75"/>
    <mergeCell ref="C10:C11"/>
    <mergeCell ref="A22:A24"/>
    <mergeCell ref="C44:C45"/>
    <mergeCell ref="C35:C38"/>
    <mergeCell ref="C39:C43"/>
    <mergeCell ref="A15:A18"/>
    <mergeCell ref="C15:C18"/>
    <mergeCell ref="C22:C24"/>
    <mergeCell ref="B35:B38"/>
    <mergeCell ref="A35:A38"/>
    <mergeCell ref="A95:A99"/>
    <mergeCell ref="C95:C99"/>
    <mergeCell ref="C58:C61"/>
    <mergeCell ref="B72:B75"/>
    <mergeCell ref="B55:B57"/>
    <mergeCell ref="B62:B67"/>
    <mergeCell ref="C72:C75"/>
    <mergeCell ref="B82:B91"/>
    <mergeCell ref="A93:A94"/>
    <mergeCell ref="A68:A71"/>
    <mergeCell ref="C55:C57"/>
    <mergeCell ref="C68:C71"/>
    <mergeCell ref="B76:B79"/>
    <mergeCell ref="A62:A67"/>
    <mergeCell ref="C62:C67"/>
    <mergeCell ref="A12:A14"/>
    <mergeCell ref="B93:B94"/>
    <mergeCell ref="C12:C14"/>
    <mergeCell ref="C82:C91"/>
    <mergeCell ref="B29:B33"/>
    <mergeCell ref="C20:C21"/>
    <mergeCell ref="C48:C5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7"/>
  <sheetViews>
    <sheetView workbookViewId="0">
      <selection activeCell="F15" sqref="F15"/>
    </sheetView>
  </sheetViews>
  <sheetFormatPr defaultRowHeight="14.4" x14ac:dyDescent="0.3"/>
  <cols>
    <col min="1" max="1" width="40" customWidth="1"/>
    <col min="2" max="2" width="14" customWidth="1"/>
    <col min="3" max="3" width="15" customWidth="1"/>
    <col min="4" max="4" width="17" customWidth="1"/>
    <col min="5" max="6" width="11" customWidth="1"/>
  </cols>
  <sheetData>
    <row r="2" spans="1:6" ht="30" customHeight="1" x14ac:dyDescent="0.3">
      <c r="A2" s="17" t="s">
        <v>583</v>
      </c>
      <c r="B2" s="15"/>
      <c r="C2" s="15"/>
      <c r="D2" s="15"/>
      <c r="E2" s="15"/>
      <c r="F2" s="15"/>
    </row>
    <row r="4" spans="1:6" ht="24" customHeight="1" x14ac:dyDescent="0.4">
      <c r="A4" s="5" t="s">
        <v>584</v>
      </c>
      <c r="B4" s="5" t="s">
        <v>585</v>
      </c>
      <c r="C4" s="5" t="s">
        <v>586</v>
      </c>
      <c r="D4" s="5" t="s">
        <v>587</v>
      </c>
      <c r="E4" s="5" t="s">
        <v>588</v>
      </c>
      <c r="F4" s="5" t="s">
        <v>22</v>
      </c>
    </row>
    <row r="5" spans="1:6" ht="16.8" x14ac:dyDescent="0.4">
      <c r="A5" s="6" t="s">
        <v>589</v>
      </c>
      <c r="B5" s="7" t="s">
        <v>61</v>
      </c>
      <c r="C5" s="3">
        <v>15</v>
      </c>
      <c r="D5" s="3">
        <v>8.4</v>
      </c>
      <c r="E5" s="7" t="s">
        <v>590</v>
      </c>
      <c r="F5" s="8" t="s">
        <v>27</v>
      </c>
    </row>
    <row r="6" spans="1:6" ht="16.8" x14ac:dyDescent="0.4">
      <c r="A6" s="6" t="s">
        <v>591</v>
      </c>
      <c r="B6" s="7" t="s">
        <v>61</v>
      </c>
      <c r="C6" s="3">
        <v>350</v>
      </c>
      <c r="D6" s="3">
        <v>245</v>
      </c>
      <c r="E6" s="7" t="s">
        <v>592</v>
      </c>
      <c r="F6" s="8" t="s">
        <v>27</v>
      </c>
    </row>
    <row r="7" spans="1:6" ht="16.8" x14ac:dyDescent="0.4">
      <c r="A7" s="6" t="s">
        <v>593</v>
      </c>
      <c r="B7" s="7" t="s">
        <v>61</v>
      </c>
      <c r="C7" s="3">
        <v>100</v>
      </c>
      <c r="D7" s="3">
        <v>45.2</v>
      </c>
      <c r="E7" s="7" t="s">
        <v>594</v>
      </c>
      <c r="F7" s="8" t="s">
        <v>27</v>
      </c>
    </row>
    <row r="8" spans="1:6" ht="16.8" x14ac:dyDescent="0.4">
      <c r="A8" s="6" t="s">
        <v>595</v>
      </c>
      <c r="B8" s="7" t="s">
        <v>61</v>
      </c>
      <c r="C8" s="3">
        <v>3</v>
      </c>
      <c r="D8" s="3">
        <v>1.8</v>
      </c>
      <c r="E8" s="7" t="s">
        <v>596</v>
      </c>
      <c r="F8" s="8" t="s">
        <v>27</v>
      </c>
    </row>
    <row r="9" spans="1:6" ht="16.8" x14ac:dyDescent="0.4">
      <c r="A9" s="6" t="s">
        <v>597</v>
      </c>
      <c r="B9" s="7" t="s">
        <v>61</v>
      </c>
      <c r="C9" s="3">
        <v>5</v>
      </c>
      <c r="D9" s="3">
        <v>2.1</v>
      </c>
      <c r="E9" s="7" t="s">
        <v>596</v>
      </c>
      <c r="F9" s="8" t="s">
        <v>27</v>
      </c>
    </row>
    <row r="10" spans="1:6" ht="16.8" x14ac:dyDescent="0.4">
      <c r="A10" s="6" t="s">
        <v>598</v>
      </c>
      <c r="B10" s="7" t="s">
        <v>61</v>
      </c>
      <c r="C10" s="3">
        <v>4</v>
      </c>
      <c r="D10" s="3">
        <v>1.95</v>
      </c>
      <c r="E10" s="7" t="s">
        <v>596</v>
      </c>
      <c r="F10" s="8" t="s">
        <v>27</v>
      </c>
    </row>
    <row r="11" spans="1:6" ht="16.8" x14ac:dyDescent="0.4">
      <c r="A11" s="6" t="s">
        <v>599</v>
      </c>
      <c r="B11" s="7" t="s">
        <v>61</v>
      </c>
      <c r="C11" s="3">
        <v>2</v>
      </c>
      <c r="D11" s="3">
        <v>0.85</v>
      </c>
      <c r="E11" s="7" t="s">
        <v>596</v>
      </c>
      <c r="F11" s="8" t="s">
        <v>27</v>
      </c>
    </row>
    <row r="12" spans="1:6" ht="16.8" x14ac:dyDescent="0.4">
      <c r="A12" s="6" t="s">
        <v>600</v>
      </c>
      <c r="B12" s="7" t="s">
        <v>62</v>
      </c>
      <c r="C12" s="3">
        <v>4</v>
      </c>
      <c r="D12" s="3">
        <v>4</v>
      </c>
      <c r="E12" s="7" t="s">
        <v>601</v>
      </c>
      <c r="F12" s="8" t="s">
        <v>27</v>
      </c>
    </row>
    <row r="13" spans="1:6" ht="16.8" x14ac:dyDescent="0.4">
      <c r="A13" s="6" t="s">
        <v>602</v>
      </c>
      <c r="B13" s="7" t="s">
        <v>62</v>
      </c>
      <c r="C13" s="3">
        <v>2</v>
      </c>
      <c r="D13" s="3">
        <v>0.15</v>
      </c>
      <c r="E13" s="7" t="s">
        <v>603</v>
      </c>
      <c r="F13" s="8" t="s">
        <v>27</v>
      </c>
    </row>
    <row r="14" spans="1:6" ht="16.8" x14ac:dyDescent="0.4">
      <c r="A14" s="6" t="s">
        <v>604</v>
      </c>
      <c r="B14" s="7" t="s">
        <v>62</v>
      </c>
      <c r="C14" s="3">
        <v>100</v>
      </c>
      <c r="D14" s="3">
        <v>100</v>
      </c>
      <c r="E14" s="7" t="s">
        <v>590</v>
      </c>
      <c r="F14" s="8" t="s">
        <v>27</v>
      </c>
    </row>
    <row r="15" spans="1:6" ht="16.8" x14ac:dyDescent="0.4">
      <c r="A15" s="6" t="s">
        <v>605</v>
      </c>
      <c r="B15" s="7" t="s">
        <v>62</v>
      </c>
      <c r="C15" s="3">
        <v>1</v>
      </c>
      <c r="D15" s="3">
        <v>0.87</v>
      </c>
      <c r="E15" s="7" t="s">
        <v>590</v>
      </c>
      <c r="F15" s="8" t="s">
        <v>27</v>
      </c>
    </row>
    <row r="16" spans="1:6" ht="16.8" x14ac:dyDescent="0.4">
      <c r="A16" s="6" t="s">
        <v>606</v>
      </c>
      <c r="B16" s="7" t="s">
        <v>62</v>
      </c>
      <c r="C16" s="3">
        <v>0</v>
      </c>
      <c r="D16" s="3">
        <v>0</v>
      </c>
      <c r="E16" s="7" t="s">
        <v>607</v>
      </c>
      <c r="F16" s="8" t="s">
        <v>27</v>
      </c>
    </row>
    <row r="17" spans="1:6" ht="16.8" x14ac:dyDescent="0.4">
      <c r="A17" s="6" t="s">
        <v>608</v>
      </c>
      <c r="B17" s="7" t="s">
        <v>62</v>
      </c>
      <c r="C17" s="3">
        <v>0</v>
      </c>
      <c r="D17" s="3">
        <v>0</v>
      </c>
      <c r="E17" s="7" t="s">
        <v>609</v>
      </c>
      <c r="F17" s="8" t="s">
        <v>27</v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G8"/>
  <sheetViews>
    <sheetView workbookViewId="0">
      <selection activeCell="H14" sqref="H14"/>
    </sheetView>
  </sheetViews>
  <sheetFormatPr defaultRowHeight="14.4" x14ac:dyDescent="0.3"/>
  <cols>
    <col min="1" max="1" width="15" customWidth="1"/>
    <col min="2" max="2" width="17" customWidth="1"/>
    <col min="3" max="3" width="19" customWidth="1"/>
    <col min="4" max="5" width="15" customWidth="1"/>
    <col min="6" max="6" width="16" customWidth="1"/>
    <col min="7" max="7" width="11" customWidth="1"/>
  </cols>
  <sheetData>
    <row r="2" spans="1:7" ht="30" customHeight="1" x14ac:dyDescent="0.3">
      <c r="A2" s="17" t="s">
        <v>610</v>
      </c>
      <c r="B2" s="15"/>
      <c r="C2" s="15"/>
      <c r="D2" s="15"/>
      <c r="E2" s="15"/>
      <c r="F2" s="15"/>
      <c r="G2" s="15"/>
    </row>
    <row r="4" spans="1:7" ht="24" customHeight="1" x14ac:dyDescent="0.4">
      <c r="A4" s="5" t="s">
        <v>611</v>
      </c>
      <c r="B4" s="5" t="s">
        <v>369</v>
      </c>
      <c r="C4" s="5" t="s">
        <v>4</v>
      </c>
      <c r="D4" s="5" t="s">
        <v>6</v>
      </c>
      <c r="E4" s="5" t="s">
        <v>8</v>
      </c>
      <c r="F4" s="5" t="s">
        <v>10</v>
      </c>
      <c r="G4" s="5" t="s">
        <v>612</v>
      </c>
    </row>
    <row r="5" spans="1:7" ht="25.05" customHeight="1" x14ac:dyDescent="0.4">
      <c r="A5" s="7" t="s">
        <v>613</v>
      </c>
      <c r="B5" s="7" t="s">
        <v>614</v>
      </c>
      <c r="C5" s="3">
        <v>95</v>
      </c>
      <c r="D5" s="3">
        <v>80</v>
      </c>
      <c r="E5" s="3">
        <v>15</v>
      </c>
      <c r="F5" s="3">
        <v>0</v>
      </c>
      <c r="G5" s="13" t="s">
        <v>615</v>
      </c>
    </row>
    <row r="6" spans="1:7" ht="25.05" customHeight="1" x14ac:dyDescent="0.4">
      <c r="A6" s="7" t="s">
        <v>616</v>
      </c>
      <c r="B6" s="7" t="s">
        <v>617</v>
      </c>
      <c r="C6" s="3">
        <v>95</v>
      </c>
      <c r="D6" s="3">
        <v>88</v>
      </c>
      <c r="E6" s="3">
        <v>7</v>
      </c>
      <c r="F6" s="3">
        <v>0</v>
      </c>
      <c r="G6" s="13" t="s">
        <v>618</v>
      </c>
    </row>
    <row r="7" spans="1:7" ht="25.05" customHeight="1" x14ac:dyDescent="0.4">
      <c r="A7" s="7" t="s">
        <v>619</v>
      </c>
      <c r="B7" s="7" t="s">
        <v>375</v>
      </c>
      <c r="C7" s="3">
        <v>95</v>
      </c>
      <c r="D7" s="3">
        <v>91</v>
      </c>
      <c r="E7" s="3">
        <v>2</v>
      </c>
      <c r="F7" s="3">
        <v>2</v>
      </c>
      <c r="G7" s="4" t="s">
        <v>620</v>
      </c>
    </row>
    <row r="8" spans="1:7" ht="25.05" customHeight="1" x14ac:dyDescent="0.4">
      <c r="A8" s="7" t="s">
        <v>495</v>
      </c>
      <c r="B8" s="7" t="s">
        <v>375</v>
      </c>
      <c r="C8" s="3">
        <v>95</v>
      </c>
      <c r="D8" s="3">
        <v>95</v>
      </c>
      <c r="E8" s="3">
        <v>0</v>
      </c>
      <c r="F8" s="3">
        <v>0</v>
      </c>
      <c r="G8" s="4" t="s">
        <v>13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Summary_Dashboard</vt:lpstr>
      <vt:lpstr>System_Test_Cases</vt:lpstr>
      <vt:lpstr>Test_Execution</vt:lpstr>
      <vt:lpstr>Defect_Log</vt:lpstr>
      <vt:lpstr>RTM</vt:lpstr>
      <vt:lpstr>Performance_Report</vt:lpstr>
      <vt:lpstr>Execution_History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sajjan</cp:lastModifiedBy>
  <dcterms:created xsi:type="dcterms:W3CDTF">2026-06-22T06:53:02Z</dcterms:created>
  <dcterms:modified xsi:type="dcterms:W3CDTF">2026-06-22T07:24:26Z</dcterms:modified>
</cp:coreProperties>
</file>